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6260" windowHeight="10035" activeTab="6"/>
  </bookViews>
  <sheets>
    <sheet name="Spiegel M3" sheetId="10" r:id="rId1"/>
    <sheet name="Spiegel M4" sheetId="6" r:id="rId2"/>
    <sheet name="Tabelle2" sheetId="2" state="hidden" r:id="rId3"/>
    <sheet name="Tabelle3" sheetId="3" state="hidden" r:id="rId4"/>
    <sheet name="Messungen_original" sheetId="7" r:id="rId5"/>
    <sheet name="KI" sheetId="8" r:id="rId6"/>
    <sheet name="Messungen_filled" sheetId="11" r:id="rId7"/>
  </sheets>
  <calcPr calcId="145621" iterateDelta="1E-4"/>
</workbook>
</file>

<file path=xl/calcChain.xml><?xml version="1.0" encoding="utf-8"?>
<calcChain xmlns="http://schemas.openxmlformats.org/spreadsheetml/2006/main">
  <c r="AT19" i="11" l="1"/>
  <c r="AT20" i="11"/>
  <c r="AT21" i="11"/>
  <c r="AT22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C71" i="11"/>
  <c r="AD71" i="11"/>
  <c r="AE71" i="11"/>
  <c r="AF71" i="11"/>
  <c r="AG71" i="11"/>
  <c r="AH71" i="11"/>
  <c r="AI71" i="11"/>
  <c r="AJ71" i="11"/>
  <c r="AK71" i="11"/>
  <c r="AL71" i="11"/>
  <c r="AM71" i="11"/>
  <c r="AN71" i="11"/>
  <c r="AO71" i="11"/>
  <c r="AP71" i="11"/>
  <c r="AQ71" i="11"/>
  <c r="AR71" i="11"/>
  <c r="AS71" i="11"/>
  <c r="AT71" i="11"/>
  <c r="AC72" i="11"/>
  <c r="AD72" i="11"/>
  <c r="AE72" i="11"/>
  <c r="AF72" i="11"/>
  <c r="AG72" i="11"/>
  <c r="AH72" i="11"/>
  <c r="AI72" i="11"/>
  <c r="AJ72" i="11"/>
  <c r="AK72" i="11"/>
  <c r="AL72" i="11"/>
  <c r="AM72" i="11"/>
  <c r="AN72" i="11"/>
  <c r="AO72" i="11"/>
  <c r="AP72" i="11"/>
  <c r="AQ72" i="11"/>
  <c r="AR72" i="11"/>
  <c r="AS72" i="11"/>
  <c r="AT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AS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AS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AS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AS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D71" i="7"/>
  <c r="D72" i="7"/>
  <c r="AS22" i="7"/>
  <c r="AS21" i="7"/>
  <c r="AS20" i="7"/>
  <c r="AS19" i="7"/>
  <c r="R19" i="7"/>
  <c r="S19" i="7"/>
  <c r="R20" i="7"/>
  <c r="S20" i="7"/>
  <c r="R21" i="7"/>
  <c r="S21" i="7"/>
  <c r="R22" i="7"/>
  <c r="S22" i="7"/>
  <c r="M19" i="7"/>
  <c r="N19" i="7"/>
  <c r="O19" i="7"/>
  <c r="P19" i="7"/>
  <c r="Q19" i="7"/>
  <c r="M20" i="7"/>
  <c r="N20" i="7"/>
  <c r="O20" i="7"/>
  <c r="P20" i="7"/>
  <c r="Q20" i="7"/>
  <c r="M21" i="7"/>
  <c r="N21" i="7"/>
  <c r="O21" i="7"/>
  <c r="P21" i="7"/>
  <c r="Q21" i="7"/>
  <c r="M22" i="7"/>
  <c r="N22" i="7"/>
  <c r="O22" i="7"/>
  <c r="P22" i="7"/>
  <c r="Q22" i="7"/>
  <c r="T22" i="7"/>
  <c r="T21" i="7"/>
  <c r="T20" i="7"/>
  <c r="T19" i="7"/>
  <c r="L19" i="7" l="1"/>
  <c r="L20" i="7"/>
  <c r="L21" i="7"/>
  <c r="L22" i="7"/>
  <c r="I19" i="7"/>
  <c r="J19" i="7"/>
  <c r="K19" i="7"/>
  <c r="I20" i="7"/>
  <c r="J20" i="7"/>
  <c r="K20" i="7"/>
  <c r="I21" i="7"/>
  <c r="J21" i="7"/>
  <c r="K21" i="7"/>
  <c r="I22" i="7"/>
  <c r="J22" i="7"/>
  <c r="K22" i="7"/>
  <c r="H19" i="7"/>
  <c r="H20" i="7"/>
  <c r="H21" i="7"/>
  <c r="H22" i="7"/>
  <c r="G19" i="7"/>
  <c r="G20" i="7"/>
  <c r="G21" i="7"/>
  <c r="G22" i="7"/>
  <c r="F19" i="7"/>
  <c r="F20" i="7"/>
  <c r="F21" i="7"/>
  <c r="F22" i="7"/>
  <c r="E19" i="7"/>
  <c r="E20" i="7"/>
  <c r="E21" i="7"/>
  <c r="E22" i="7"/>
  <c r="C19" i="7"/>
  <c r="D19" i="7"/>
  <c r="C20" i="7"/>
  <c r="D20" i="7"/>
  <c r="C21" i="7"/>
  <c r="D21" i="7"/>
  <c r="C22" i="7"/>
  <c r="D22" i="7"/>
  <c r="B20" i="7"/>
  <c r="B19" i="7"/>
  <c r="B21" i="7"/>
  <c r="B22" i="7"/>
  <c r="D42" i="10" l="1"/>
  <c r="D35" i="10"/>
  <c r="S35" i="10"/>
  <c r="D34" i="10"/>
  <c r="S34" i="10"/>
  <c r="D33" i="10"/>
  <c r="S33" i="10"/>
  <c r="D32" i="10"/>
  <c r="S32" i="10"/>
  <c r="D31" i="10"/>
  <c r="S31" i="10"/>
  <c r="D30" i="10"/>
  <c r="S30" i="10"/>
  <c r="K11" i="10" a="1"/>
  <c r="S31" i="6"/>
  <c r="S32" i="6"/>
  <c r="S33" i="6"/>
  <c r="S34" i="6"/>
  <c r="S35" i="6"/>
  <c r="S30" i="6"/>
  <c r="D30" i="6"/>
  <c r="D31" i="6"/>
  <c r="D32" i="6"/>
  <c r="D33" i="6"/>
  <c r="D34" i="6"/>
  <c r="D35" i="6"/>
  <c r="A12" i="8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D51" i="6"/>
  <c r="D46" i="6"/>
  <c r="P15" i="10" l="1"/>
  <c r="N14" i="10"/>
  <c r="L13" i="10"/>
  <c r="P11" i="10"/>
  <c r="O16" i="10"/>
  <c r="M15" i="10"/>
  <c r="K14" i="10"/>
  <c r="O12" i="10"/>
  <c r="M11" i="10"/>
  <c r="K15" i="10"/>
  <c r="K11" i="10"/>
  <c r="O15" i="10"/>
  <c r="M14" i="10"/>
  <c r="K13" i="10"/>
  <c r="O11" i="10"/>
  <c r="P16" i="10"/>
  <c r="N15" i="10"/>
  <c r="L14" i="10"/>
  <c r="P12" i="10"/>
  <c r="N11" i="10"/>
  <c r="N13" i="10"/>
  <c r="K12" i="10"/>
  <c r="N16" i="10"/>
  <c r="L15" i="10"/>
  <c r="P13" i="10"/>
  <c r="N12" i="10"/>
  <c r="L11" i="10"/>
  <c r="M16" i="10"/>
  <c r="O13" i="10"/>
  <c r="M12" i="10"/>
  <c r="L16" i="10"/>
  <c r="P14" i="10"/>
  <c r="L12" i="10"/>
  <c r="K16" i="10"/>
  <c r="O14" i="10"/>
  <c r="M13" i="10"/>
  <c r="D16" i="6"/>
  <c r="G15" i="6"/>
  <c r="E14" i="6"/>
  <c r="K22" i="10" l="1" a="1"/>
  <c r="S22" i="10" a="1"/>
  <c r="K11" i="6" a="1"/>
  <c r="P16" i="6" s="1"/>
  <c r="S27" i="10" l="1"/>
  <c r="E27" i="10" s="1"/>
  <c r="S24" i="10"/>
  <c r="E24" i="10" s="1"/>
  <c r="S26" i="10"/>
  <c r="E26" i="10" s="1"/>
  <c r="S25" i="10"/>
  <c r="E25" i="10" s="1"/>
  <c r="S23" i="10"/>
  <c r="E23" i="10" s="1"/>
  <c r="S22" i="10"/>
  <c r="E22" i="10" s="1"/>
  <c r="P26" i="10"/>
  <c r="N25" i="10"/>
  <c r="L24" i="10"/>
  <c r="P22" i="10"/>
  <c r="O27" i="10"/>
  <c r="M26" i="10"/>
  <c r="K25" i="10"/>
  <c r="O23" i="10"/>
  <c r="M22" i="10"/>
  <c r="M27" i="10"/>
  <c r="L27" i="10"/>
  <c r="P25" i="10"/>
  <c r="N24" i="10"/>
  <c r="O26" i="10"/>
  <c r="M25" i="10"/>
  <c r="K24" i="10"/>
  <c r="O22" i="10"/>
  <c r="P27" i="10"/>
  <c r="N26" i="10"/>
  <c r="L25" i="10"/>
  <c r="P23" i="10"/>
  <c r="N22" i="10"/>
  <c r="L23" i="10"/>
  <c r="N27" i="10"/>
  <c r="L26" i="10"/>
  <c r="P24" i="10"/>
  <c r="N23" i="10"/>
  <c r="L22" i="10"/>
  <c r="K26" i="10"/>
  <c r="O24" i="10"/>
  <c r="M23" i="10"/>
  <c r="K22" i="10"/>
  <c r="K27" i="10"/>
  <c r="O25" i="10"/>
  <c r="M24" i="10"/>
  <c r="K23" i="10"/>
  <c r="L12" i="6"/>
  <c r="N13" i="6"/>
  <c r="P14" i="6"/>
  <c r="P15" i="6"/>
  <c r="O11" i="6"/>
  <c r="K13" i="6"/>
  <c r="M14" i="6"/>
  <c r="O15" i="6"/>
  <c r="P11" i="6"/>
  <c r="L13" i="6"/>
  <c r="N14" i="6"/>
  <c r="K12" i="6"/>
  <c r="M13" i="6"/>
  <c r="O14" i="6"/>
  <c r="K16" i="6"/>
  <c r="L16" i="6"/>
  <c r="K11" i="6"/>
  <c r="M12" i="6"/>
  <c r="O13" i="6"/>
  <c r="K15" i="6"/>
  <c r="M16" i="6"/>
  <c r="L11" i="6"/>
  <c r="N12" i="6"/>
  <c r="P13" i="6"/>
  <c r="L15" i="6"/>
  <c r="N16" i="6"/>
  <c r="M11" i="6"/>
  <c r="O12" i="6"/>
  <c r="K14" i="6"/>
  <c r="M15" i="6"/>
  <c r="O16" i="6"/>
  <c r="N11" i="6"/>
  <c r="P12" i="6"/>
  <c r="L14" i="6"/>
  <c r="N15" i="6"/>
  <c r="E30" i="10" l="1" a="1"/>
  <c r="K22" i="6" a="1"/>
  <c r="S22" i="6" a="1"/>
  <c r="E31" i="10" l="1"/>
  <c r="E33" i="10"/>
  <c r="E30" i="10"/>
  <c r="E35" i="10"/>
  <c r="E34" i="10"/>
  <c r="E32" i="10"/>
  <c r="L23" i="6"/>
  <c r="K27" i="6"/>
  <c r="O26" i="6"/>
  <c r="N22" i="6"/>
  <c r="P24" i="6"/>
  <c r="L27" i="6"/>
  <c r="K24" i="6"/>
  <c r="L22" i="6"/>
  <c r="N24" i="6"/>
  <c r="O22" i="6"/>
  <c r="O25" i="6"/>
  <c r="M25" i="6"/>
  <c r="O27" i="6"/>
  <c r="N23" i="6"/>
  <c r="P25" i="6"/>
  <c r="M26" i="6"/>
  <c r="K23" i="6"/>
  <c r="K25" i="6"/>
  <c r="M27" i="6"/>
  <c r="P26" i="6"/>
  <c r="P27" i="6"/>
  <c r="O23" i="6"/>
  <c r="K26" i="6"/>
  <c r="N25" i="6"/>
  <c r="M22" i="6"/>
  <c r="O24" i="6"/>
  <c r="L24" i="6"/>
  <c r="L25" i="6"/>
  <c r="N27" i="6"/>
  <c r="P23" i="6"/>
  <c r="L26" i="6"/>
  <c r="M24" i="6"/>
  <c r="M23" i="6"/>
  <c r="K22" i="6"/>
  <c r="E30" i="6" s="1" a="1"/>
  <c r="N26" i="6"/>
  <c r="P22" i="6"/>
  <c r="S25" i="6"/>
  <c r="E25" i="6" s="1"/>
  <c r="S24" i="6"/>
  <c r="E24" i="6" s="1"/>
  <c r="S23" i="6"/>
  <c r="E23" i="6" s="1"/>
  <c r="S22" i="6"/>
  <c r="S27" i="6"/>
  <c r="E27" i="6" s="1"/>
  <c r="S26" i="6"/>
  <c r="E26" i="6" s="1"/>
  <c r="E30" i="6" l="1"/>
  <c r="E32" i="6"/>
  <c r="E34" i="6"/>
  <c r="E31" i="6"/>
  <c r="E33" i="6"/>
  <c r="E35" i="6"/>
  <c r="E22" i="6"/>
</calcChain>
</file>

<file path=xl/sharedStrings.xml><?xml version="1.0" encoding="utf-8"?>
<sst xmlns="http://schemas.openxmlformats.org/spreadsheetml/2006/main" count="493" uniqueCount="230">
  <si>
    <t>METRIX-Refokussierung</t>
  </si>
  <si>
    <t>TX</t>
  </si>
  <si>
    <t>TY</t>
  </si>
  <si>
    <t>TZ</t>
  </si>
  <si>
    <t>RX</t>
  </si>
  <si>
    <t>RY</t>
  </si>
  <si>
    <t>RZ</t>
  </si>
  <si>
    <t>1 mm</t>
  </si>
  <si>
    <t>1 mrad</t>
  </si>
  <si>
    <t>Motor</t>
  </si>
  <si>
    <t>Antriebe</t>
  </si>
  <si>
    <t>mm</t>
  </si>
  <si>
    <t>Spiegel M3  -    DOF zu  Antrieb (ungefähr, ohne Vorzeichen)</t>
  </si>
  <si>
    <t>TX [mm]</t>
  </si>
  <si>
    <t>TY [mm]</t>
  </si>
  <si>
    <t>TZ [mm]</t>
  </si>
  <si>
    <t>RX [mrad]</t>
  </si>
  <si>
    <t>RY [mrad]</t>
  </si>
  <si>
    <t>RZ [mrad]</t>
  </si>
  <si>
    <t>Antriebe [mm]</t>
  </si>
  <si>
    <t>Spiegel M4  -    DOF zu  Antrieb (ungefähr, ohne Vorzeichen)</t>
  </si>
  <si>
    <t>Offset [mm]</t>
  </si>
  <si>
    <t>Einstellen</t>
  </si>
  <si>
    <t>Input DOF</t>
  </si>
  <si>
    <t>RX diff [mrad]</t>
  </si>
  <si>
    <t>RZ diff [mrad]</t>
  </si>
  <si>
    <t>durchgeführte Änderungen</t>
  </si>
  <si>
    <t>DOF</t>
  </si>
  <si>
    <t>Quelle</t>
  </si>
  <si>
    <t>{-2 … 2 } mrad</t>
  </si>
  <si>
    <t>Spherical Grating</t>
  </si>
  <si>
    <t>{-1 … 1} mrad</t>
  </si>
  <si>
    <t>{-8 … 8} mrad</t>
  </si>
  <si>
    <t>{-2 … 2} mrad</t>
  </si>
  <si>
    <t>{-5 … 5} mrad</t>
  </si>
  <si>
    <t>{-2 … 2 } mm</t>
  </si>
  <si>
    <t>{-0.3 … 0.3 } mrad</t>
  </si>
  <si>
    <t>{-0.2 … 0.2} mrad</t>
  </si>
  <si>
    <t>{-2 …2} mm</t>
  </si>
  <si>
    <t>Exit Slit</t>
  </si>
  <si>
    <t>{-1 …1} mm</t>
  </si>
  <si>
    <t>{2.0, 2.0, 0.1} mm</t>
  </si>
  <si>
    <t>Point Source: TX</t>
  </si>
  <si>
    <t>Point Source: TY</t>
  </si>
  <si>
    <t>Point Source: RX</t>
  </si>
  <si>
    <t>Point Source: RY</t>
  </si>
  <si>
    <t>ASBL: width</t>
  </si>
  <si>
    <t>ASBL: height</t>
  </si>
  <si>
    <t>M1-Cylinder: RX</t>
  </si>
  <si>
    <t>M1-Cylinder: RY</t>
  </si>
  <si>
    <t>M1-Cylinder: RZ</t>
  </si>
  <si>
    <t>M1-Cylinder: TX</t>
  </si>
  <si>
    <t>M1-Cylinder: TY</t>
  </si>
  <si>
    <t>Spherical Grating: line density</t>
  </si>
  <si>
    <t>Spherical Grating: Radius</t>
  </si>
  <si>
    <t>Spherical Grating: RY</t>
  </si>
  <si>
    <t>Spherical Grating: RZ</t>
  </si>
  <si>
    <t>Exit Slit: height</t>
  </si>
  <si>
    <t>Exit Slit: RZ</t>
  </si>
  <si>
    <t>Planellipse, horizontal</t>
  </si>
  <si>
    <t>Planellipse, vertikal</t>
  </si>
  <si>
    <t>E1: RZ</t>
  </si>
  <si>
    <t>E1: TY</t>
  </si>
  <si>
    <t>E1: TZ</t>
  </si>
  <si>
    <t>E2: RX</t>
  </si>
  <si>
    <t>E2: RZ</t>
  </si>
  <si>
    <t>E2: TY</t>
  </si>
  <si>
    <t>E2: TZ</t>
  </si>
  <si>
    <t>E1: RX</t>
  </si>
  <si>
    <t>{-30 … +30} mrad</t>
  </si>
  <si>
    <t>ImagePlane:Distance</t>
  </si>
  <si>
    <t>M1-Cylinder: Short Radius rho</t>
  </si>
  <si>
    <t>E2: Long Half Axis A</t>
  </si>
  <si>
    <t>E2: Short Half Axis B</t>
  </si>
  <si>
    <t>E1: Long Half Axis A</t>
  </si>
  <si>
    <t>E1: Short Half Axis B</t>
  </si>
  <si>
    <t>{-100 … 100 } mm</t>
  </si>
  <si>
    <t>{-300 … 300 } mm</t>
  </si>
  <si>
    <t>{-4 … 4 } mm</t>
  </si>
  <si>
    <t>*</t>
  </si>
  <si>
    <t>reduziert</t>
  </si>
  <si>
    <t>Point Source: Photon energy</t>
  </si>
  <si>
    <t>DOF reduziert</t>
  </si>
  <si>
    <t>first mirror</t>
  </si>
  <si>
    <t>M</t>
  </si>
  <si>
    <t>Nr.</t>
  </si>
  <si>
    <t>Auslasssystemblende (ASBL)</t>
  </si>
  <si>
    <t>Input Antriebe</t>
  </si>
  <si>
    <t>Hilfsrechnung (mtrans)</t>
  </si>
  <si>
    <t>Hilfsrechnung (minvers)</t>
  </si>
  <si>
    <t>Exit Slit: TZ</t>
  </si>
  <si>
    <t>für 318 eV: METRIX_U41_G1_H1_318eV_MLearn.rml (Plane Mirror:Grazing Incidence Angle: 4.3901672 | Sperical Grating:Radius: 109791 )</t>
  </si>
  <si>
    <t>109791 {-100  … +100} mm</t>
  </si>
  <si>
    <t>174.21 {-1 … 1 } mm</t>
  </si>
  <si>
    <t>{-150 … +150} mm</t>
  </si>
  <si>
    <t>ASBL: TX</t>
  </si>
  <si>
    <t>ASBL: TY</t>
  </si>
  <si>
    <t>{-1.0, 0.0 ,1.0} mm</t>
  </si>
  <si>
    <t xml:space="preserve">{318, 820} eV </t>
  </si>
  <si>
    <t>für 820 eV: METRIX_U41_G1_H1_820eV_MLearn.rml (Plane Mirror:Grazing Incidence Angle: 4.3510666 | Sperical Grating:Radius: 109791 )</t>
  </si>
  <si>
    <t>xxx</t>
  </si>
  <si>
    <t>Fragestellungen:</t>
  </si>
  <si>
    <t>Informationen:</t>
  </si>
  <si>
    <t>{1000 +/-35} mm (5…15 pos.)</t>
  </si>
  <si>
    <t>RAY-UI: {Element: Parameter}</t>
  </si>
  <si>
    <t>DOF RAY-UI</t>
  </si>
  <si>
    <t>Diese Parameter könnten in Simulationen geändert werden.</t>
  </si>
  <si>
    <t>{0.1 … 2.0} mm</t>
  </si>
  <si>
    <t>idea / proposal</t>
  </si>
  <si>
    <t xml:space="preserve">{318} eV </t>
  </si>
  <si>
    <r>
      <t>{1199.918</t>
    </r>
    <r>
      <rPr>
        <sz val="11"/>
        <color theme="1"/>
        <rFont val="Calibri"/>
        <family val="2"/>
        <scheme val="minor"/>
      </rPr>
      <t>} L/mm</t>
    </r>
  </si>
  <si>
    <t>{0.01, 0.1} mm</t>
  </si>
  <si>
    <t>{0.01 ... 0.2} mm</t>
  </si>
  <si>
    <t>sinnvolle Bereiche für die Änderungen in den Simulationen</t>
  </si>
  <si>
    <t>{1000 +/- 100} mm</t>
  </si>
  <si>
    <t>ein umsetzbarer Vorschlag für Änderungen an der Beamline mit anschließender Aufnahme von Kamerabildern - Frage: Ist er auch nützlich bezüglich der Fragestellungen?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</si>
  <si>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(2 or 3 pos.) 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</si>
  <si>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{-1 … 1 } mrad (2 or 3 pos.)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</si>
  <si>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{-8 … 8 } mrad (2 or 3 pos.)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</si>
  <si>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{-2 … 2 } mrad (2 or 3 pos.)</t>
    </r>
  </si>
  <si>
    <t>E1: RY</t>
  </si>
  <si>
    <t>E2: RY</t>
  </si>
  <si>
    <t>{-15 … 15} mrad</t>
  </si>
  <si>
    <t>Freiheitsgrade (DOF) für RAY-UI- Simulationen @ 318 eV (820 eV)</t>
  </si>
  <si>
    <t>motorisiert</t>
  </si>
  <si>
    <t>DOF Bereich</t>
  </si>
  <si>
    <t>DOF Bereich - reduziert</t>
  </si>
  <si>
    <t>Element Info</t>
  </si>
  <si>
    <t>Diese Parameter könnten an der Beamline geändert werden. Für ein Parameter-Setup können Kamerabilder aufgenommen werden.</t>
  </si>
  <si>
    <t>Können anhand möglichst weniger Kamerabilder …</t>
  </si>
  <si>
    <t>Design-Fokusebene (1000 mm)</t>
  </si>
  <si>
    <t>1) … evtl. Aussagen über den Zustand dieser Parameter getroffen werden? (Wichtigkeit nicht so hoch)</t>
  </si>
  <si>
    <t>2) … gezeigt werden, welche Einstellungen bzw. Änderungen der Einstellungen zu dem kleinsten Fokus in der Design-Fokusebene  führen?</t>
  </si>
  <si>
    <t>3) … gezeigt werden, welche Einstellungen bzw. Änderungen der Einstellungen zu dem kleinsten Fokus in der Design-Fokusebene führen und darüber hinaus horizontal und vertikal möglichst nah an der Design-Fokusposition liegen?</t>
  </si>
  <si>
    <t>Setup</t>
  </si>
  <si>
    <t>eV</t>
  </si>
  <si>
    <t>Beispiel-Simulation</t>
  </si>
  <si>
    <t>mrad</t>
  </si>
  <si>
    <t>Einheit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</si>
  <si>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{-5 … 5 } mrad (2 or 3 pos.)</t>
    </r>
  </si>
  <si>
    <t>Fokussuche an der METRIX-Beamline unter Verwendung von Kameraaufnahmen</t>
  </si>
  <si>
    <t>Infos für einen Test der "Machine Learning"-Methode</t>
  </si>
  <si>
    <t>{4.0, 0.1, 4.0} mm</t>
  </si>
  <si>
    <t>KB-Optik</t>
  </si>
  <si>
    <t>ASBL</t>
  </si>
  <si>
    <t>SMU</t>
  </si>
  <si>
    <t>Exit Slit [µm]</t>
  </si>
  <si>
    <t>Kamera</t>
  </si>
  <si>
    <t>M01</t>
  </si>
  <si>
    <t>M02</t>
  </si>
  <si>
    <t>Energie [eV]</t>
  </si>
  <si>
    <t>Position [mm]</t>
  </si>
  <si>
    <t>Rotation [mm] (Mikrometerschr)</t>
  </si>
  <si>
    <t>1   3</t>
  </si>
  <si>
    <t>2   5</t>
  </si>
  <si>
    <t>3   3</t>
  </si>
  <si>
    <t>4   5</t>
  </si>
  <si>
    <t>Messung-Nr.</t>
  </si>
  <si>
    <t>Datum</t>
  </si>
  <si>
    <t>M1 Switch [Step]</t>
  </si>
  <si>
    <t>M6 Right TX [Step]</t>
  </si>
  <si>
    <t>M7 Right RX [Step]</t>
  </si>
  <si>
    <t>M8 Right RY [Step]</t>
  </si>
  <si>
    <t>M9 Right RZ [Step]</t>
  </si>
  <si>
    <t>ASBL: width [mm]</t>
  </si>
  <si>
    <t>ASBL: height [mm]</t>
  </si>
  <si>
    <t>ASBL:Blende-O [mm]</t>
  </si>
  <si>
    <t>ASBL:Blende-U [mm]</t>
  </si>
  <si>
    <t>ASBL:Blende-R (Mauer) [mm]</t>
  </si>
  <si>
    <t>ASBL: TX [mm]</t>
  </si>
  <si>
    <t>ASBL: TY [mm]</t>
  </si>
  <si>
    <t>ASBL:Blende-L (Ring) [mm]</t>
  </si>
  <si>
    <t>Messungen MachineLearning-Test</t>
  </si>
  <si>
    <t>1200 L/mm - Gitter</t>
  </si>
  <si>
    <t>12.02.2021  Screenshots</t>
  </si>
  <si>
    <t>x-Position (hor) [mm]</t>
  </si>
  <si>
    <t>y-Position (ver) [mm]</t>
  </si>
  <si>
    <t>M3-Antriebe (Motor | Mikrometer) [mm]</t>
  </si>
  <si>
    <t>M4-Antriebe (Motor | Mikrometer) [mm]</t>
  </si>
  <si>
    <t>Railposition-Shift [mm]</t>
  </si>
  <si>
    <t>Gap [mm]</t>
  </si>
  <si>
    <t>M03</t>
  </si>
  <si>
    <t>M04</t>
  </si>
  <si>
    <t>M05</t>
  </si>
  <si>
    <t>M06</t>
  </si>
  <si>
    <t>M05_2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</si>
  <si>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</si>
  <si>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</si>
  <si>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</si>
  <si>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</si>
  <si>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</si>
  <si>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</si>
  <si>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</si>
  <si>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</si>
  <si>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</si>
  <si>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</si>
  <si>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</si>
  <si>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</si>
  <si>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</si>
  <si>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</si>
  <si>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</si>
  <si>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</si>
  <si>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</si>
  <si>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</si>
  <si>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</si>
  <si>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</si>
  <si>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</si>
  <si>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</si>
  <si>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</si>
  <si>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</si>
  <si>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</si>
  <si>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</si>
  <si>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</si>
  <si>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</si>
  <si>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</si>
  <si>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</si>
  <si>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</si>
  <si>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</si>
  <si>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</si>
  <si>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</si>
  <si>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</si>
  <si>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</si>
  <si>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</si>
  <si>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final</t>
  </si>
  <si>
    <t>M44</t>
  </si>
  <si>
    <t>DOF M1 (ca. relative Abweichungen von Messung M03</t>
  </si>
  <si>
    <t>DOF M4 (ca. relative Abweichung von der Einmessung)</t>
  </si>
  <si>
    <t>DOF M3 (ca. relative Abweichung von der Einmessung)</t>
  </si>
  <si>
    <t>dRX [mrad]</t>
  </si>
  <si>
    <t>dRY [mrad]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</si>
</sst>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€_-;\-* #,##0.00\ _€_-;_-* &quot;-&quot;??\ _€_-;_-@_-"/>
    <numFmt numFmtId="164" formatCode="0.0000"/>
    <numFmt numFmtId="165" formatCode="0.000"/>
    <numFmt numFmtId="166" formatCode="#,##0.000000"/>
    <numFmt numFmtId="168" formatCode="#,##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sz val="11"/>
      <color theme="1"/>
      <name val="Symbol"/>
      <family val="1"/>
      <charset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6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/>
    <xf numFmtId="0" fontId="2" fillId="0" borderId="1" xfId="0" applyFont="1" applyFill="1" applyBorder="1"/>
    <xf numFmtId="164" fontId="7" fillId="0" borderId="1" xfId="1" applyNumberFormat="1" applyFont="1" applyBorder="1"/>
    <xf numFmtId="165" fontId="7" fillId="0" borderId="1" xfId="1" applyNumberFormat="1" applyFont="1" applyBorder="1"/>
    <xf numFmtId="165" fontId="7" fillId="0" borderId="1" xfId="0" applyNumberFormat="1" applyFont="1" applyBorder="1"/>
    <xf numFmtId="165" fontId="2" fillId="0" borderId="1" xfId="0" applyNumberFormat="1" applyFont="1" applyBorder="1"/>
    <xf numFmtId="165" fontId="5" fillId="0" borderId="1" xfId="0" applyNumberFormat="1" applyFont="1" applyBorder="1"/>
    <xf numFmtId="165" fontId="0" fillId="0" borderId="0" xfId="0" applyNumberForma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2" fillId="2" borderId="1" xfId="0" applyFont="1" applyFill="1" applyBorder="1"/>
    <xf numFmtId="0" fontId="0" fillId="3" borderId="1" xfId="0" applyFont="1" applyFill="1" applyBorder="1"/>
    <xf numFmtId="0" fontId="8" fillId="0" borderId="0" xfId="0" applyFont="1" applyAlignment="1">
      <alignment horizontal="left"/>
    </xf>
    <xf numFmtId="0" fontId="0" fillId="4" borderId="1" xfId="0" applyFill="1" applyBorder="1"/>
    <xf numFmtId="0" fontId="0" fillId="4" borderId="1" xfId="0" applyFont="1" applyFill="1" applyBorder="1"/>
    <xf numFmtId="0" fontId="0" fillId="4" borderId="0" xfId="0" applyFill="1" applyBorder="1"/>
    <xf numFmtId="0" fontId="9" fillId="0" borderId="1" xfId="0" applyFont="1" applyBorder="1" applyAlignment="1">
      <alignment horizontal="left"/>
    </xf>
    <xf numFmtId="0" fontId="0" fillId="0" borderId="6" xfId="0" applyBorder="1"/>
    <xf numFmtId="0" fontId="2" fillId="5" borderId="1" xfId="0" applyFont="1" applyFill="1" applyBorder="1"/>
    <xf numFmtId="0" fontId="0" fillId="6" borderId="1" xfId="0" applyFill="1" applyBorder="1"/>
    <xf numFmtId="0" fontId="0" fillId="6" borderId="1" xfId="0" applyFont="1" applyFill="1" applyBorder="1"/>
    <xf numFmtId="0" fontId="2" fillId="0" borderId="6" xfId="0" applyFont="1" applyBorder="1"/>
    <xf numFmtId="0" fontId="0" fillId="0" borderId="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0" borderId="5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right"/>
    </xf>
    <xf numFmtId="0" fontId="0" fillId="0" borderId="0" xfId="0" applyFont="1" applyAlignment="1">
      <alignment horizontal="right"/>
    </xf>
    <xf numFmtId="2" fontId="0" fillId="0" borderId="0" xfId="0" applyNumberFormat="1"/>
    <xf numFmtId="2" fontId="13" fillId="0" borderId="0" xfId="0" applyNumberFormat="1" applyFont="1"/>
    <xf numFmtId="0" fontId="13" fillId="0" borderId="0" xfId="0" applyFont="1"/>
    <xf numFmtId="14" fontId="2" fillId="0" borderId="0" xfId="0" applyNumberFormat="1" applyFont="1"/>
    <xf numFmtId="0" fontId="0" fillId="0" borderId="0" xfId="0" applyFill="1" applyBorder="1" applyAlignment="1">
      <alignment horizontal="center"/>
    </xf>
    <xf numFmtId="0" fontId="0" fillId="0" borderId="0" xfId="0" applyFont="1" applyFill="1" applyBorder="1"/>
    <xf numFmtId="0" fontId="11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0" fillId="0" borderId="0" xfId="0" applyFont="1"/>
    <xf numFmtId="14" fontId="0" fillId="0" borderId="0" xfId="0" applyNumberFormat="1" applyFont="1" applyAlignment="1">
      <alignment horizontal="right"/>
    </xf>
    <xf numFmtId="14" fontId="7" fillId="0" borderId="0" xfId="0" applyNumberFormat="1" applyFont="1"/>
    <xf numFmtId="0" fontId="7" fillId="0" borderId="0" xfId="0" applyFont="1"/>
    <xf numFmtId="168" fontId="0" fillId="0" borderId="0" xfId="0" applyNumberForma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714375</xdr:colOff>
      <xdr:row>7</xdr:row>
      <xdr:rowOff>114300</xdr:rowOff>
    </xdr:from>
    <xdr:to>
      <xdr:col>21</xdr:col>
      <xdr:colOff>85725</xdr:colOff>
      <xdr:row>37</xdr:row>
      <xdr:rowOff>142875</xdr:rowOff>
    </xdr:to>
    <xdr:sp macro="" textlink="">
      <xdr:nvSpPr>
        <xdr:cNvPr id="4" name="Rechteck 3"/>
        <xdr:cNvSpPr/>
      </xdr:nvSpPr>
      <xdr:spPr>
        <a:xfrm>
          <a:off x="7991475" y="1447800"/>
          <a:ext cx="8515350" cy="57435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19050</xdr:colOff>
      <xdr:row>20</xdr:row>
      <xdr:rowOff>85725</xdr:rowOff>
    </xdr:from>
    <xdr:to>
      <xdr:col>2</xdr:col>
      <xdr:colOff>638175</xdr:colOff>
      <xdr:row>20</xdr:row>
      <xdr:rowOff>95250</xdr:rowOff>
    </xdr:to>
    <xdr:cxnSp macro="">
      <xdr:nvCxnSpPr>
        <xdr:cNvPr id="2" name="Gerade Verbindung mit Pfeil 1"/>
        <xdr:cNvCxnSpPr/>
      </xdr:nvCxnSpPr>
      <xdr:spPr>
        <a:xfrm flipV="1">
          <a:off x="962025" y="3895725"/>
          <a:ext cx="1381125" cy="9525"/>
        </a:xfrm>
        <a:prstGeom prst="straightConnector1">
          <a:avLst/>
        </a:prstGeom>
        <a:ln w="19050">
          <a:solidFill>
            <a:srgbClr val="00B05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28</xdr:row>
      <xdr:rowOff>85725</xdr:rowOff>
    </xdr:from>
    <xdr:to>
      <xdr:col>2</xdr:col>
      <xdr:colOff>685800</xdr:colOff>
      <xdr:row>28</xdr:row>
      <xdr:rowOff>95250</xdr:rowOff>
    </xdr:to>
    <xdr:cxnSp macro="">
      <xdr:nvCxnSpPr>
        <xdr:cNvPr id="3" name="Gerade Verbindung mit Pfeil 2"/>
        <xdr:cNvCxnSpPr/>
      </xdr:nvCxnSpPr>
      <xdr:spPr>
        <a:xfrm flipV="1">
          <a:off x="1009650" y="5419725"/>
          <a:ext cx="1381125" cy="9525"/>
        </a:xfrm>
        <a:prstGeom prst="straightConnector1">
          <a:avLst/>
        </a:prstGeom>
        <a:ln w="19050">
          <a:solidFill>
            <a:srgbClr val="00B05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20</xdr:row>
      <xdr:rowOff>85725</xdr:rowOff>
    </xdr:from>
    <xdr:to>
      <xdr:col>2</xdr:col>
      <xdr:colOff>638175</xdr:colOff>
      <xdr:row>20</xdr:row>
      <xdr:rowOff>95250</xdr:rowOff>
    </xdr:to>
    <xdr:cxnSp macro="">
      <xdr:nvCxnSpPr>
        <xdr:cNvPr id="2" name="Gerade Verbindung mit Pfeil 1"/>
        <xdr:cNvCxnSpPr/>
      </xdr:nvCxnSpPr>
      <xdr:spPr>
        <a:xfrm flipV="1">
          <a:off x="962025" y="3895725"/>
          <a:ext cx="1381125" cy="9525"/>
        </a:xfrm>
        <a:prstGeom prst="straightConnector1">
          <a:avLst/>
        </a:prstGeom>
        <a:ln w="19050">
          <a:solidFill>
            <a:srgbClr val="00B05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28</xdr:row>
      <xdr:rowOff>85725</xdr:rowOff>
    </xdr:from>
    <xdr:to>
      <xdr:col>2</xdr:col>
      <xdr:colOff>685800</xdr:colOff>
      <xdr:row>28</xdr:row>
      <xdr:rowOff>95250</xdr:rowOff>
    </xdr:to>
    <xdr:cxnSp macro="">
      <xdr:nvCxnSpPr>
        <xdr:cNvPr id="7" name="Gerade Verbindung mit Pfeil 6"/>
        <xdr:cNvCxnSpPr/>
      </xdr:nvCxnSpPr>
      <xdr:spPr>
        <a:xfrm flipV="1">
          <a:off x="1009650" y="5419725"/>
          <a:ext cx="1381125" cy="9525"/>
        </a:xfrm>
        <a:prstGeom prst="straightConnector1">
          <a:avLst/>
        </a:prstGeom>
        <a:ln w="19050">
          <a:solidFill>
            <a:srgbClr val="00B05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21</xdr:col>
      <xdr:colOff>133350</xdr:colOff>
      <xdr:row>38</xdr:row>
      <xdr:rowOff>28575</xdr:rowOff>
    </xdr:to>
    <xdr:sp macro="" textlink="">
      <xdr:nvSpPr>
        <xdr:cNvPr id="8" name="Rechteck 7"/>
        <xdr:cNvSpPr/>
      </xdr:nvSpPr>
      <xdr:spPr>
        <a:xfrm>
          <a:off x="8039100" y="1524000"/>
          <a:ext cx="8515350" cy="57435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52180</xdr:colOff>
      <xdr:row>86</xdr:row>
      <xdr:rowOff>166066</xdr:rowOff>
    </xdr:from>
    <xdr:to>
      <xdr:col>6</xdr:col>
      <xdr:colOff>170654</xdr:colOff>
      <xdr:row>105</xdr:row>
      <xdr:rowOff>137042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80" y="16623609"/>
          <a:ext cx="6371844" cy="35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259773</xdr:colOff>
      <xdr:row>107</xdr:row>
      <xdr:rowOff>103043</xdr:rowOff>
    </xdr:from>
    <xdr:to>
      <xdr:col>4</xdr:col>
      <xdr:colOff>346160</xdr:colOff>
      <xdr:row>138</xdr:row>
      <xdr:rowOff>73734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773" y="21698816"/>
          <a:ext cx="4658387" cy="58761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48</xdr:row>
      <xdr:rowOff>104775</xdr:rowOff>
    </xdr:from>
    <xdr:to>
      <xdr:col>6</xdr:col>
      <xdr:colOff>1905000</xdr:colOff>
      <xdr:row>60</xdr:row>
      <xdr:rowOff>114300</xdr:rowOff>
    </xdr:to>
    <xdr:sp macro="" textlink="">
      <xdr:nvSpPr>
        <xdr:cNvPr id="2" name="Textfeld 1"/>
        <xdr:cNvSpPr txBox="1"/>
      </xdr:nvSpPr>
      <xdr:spPr>
        <a:xfrm>
          <a:off x="47626" y="9439275"/>
          <a:ext cx="9867899" cy="2295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/>
            <a:t>die </a:t>
          </a:r>
          <a:r>
            <a:rPr lang="de-D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Fokusmesskammer  liefert</a:t>
          </a:r>
          <a:r>
            <a:rPr lang="de-DE" sz="1100" b="1"/>
            <a:t>: </a:t>
          </a:r>
        </a:p>
        <a:p>
          <a:r>
            <a:rPr lang="de-DE" sz="1100" b="0"/>
            <a:t>- Intensitätsbilder @ {5 ... 15} Positionen  +/-35 mm um die Design-Fokusebene entlang der Design-Richtung des ausfallenden Strahles ("central beam")</a:t>
          </a:r>
        </a:p>
        <a:p>
          <a:r>
            <a:rPr lang="de-DE" sz="1100" b="0"/>
            <a:t>- oder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Intensitätsbilder  am z.B. Ort der Design-Fokusebene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während ein Parameter geändert wird</a:t>
          </a:r>
          <a:endParaRPr lang="de-DE" sz="1100" b="0"/>
        </a:p>
        <a:p>
          <a:r>
            <a:rPr lang="de-DE" sz="1100" b="0"/>
            <a:t>	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>
              <a:effectLst/>
            </a:rPr>
            <a:t>- </a:t>
          </a:r>
          <a:r>
            <a:rPr lang="de-DE" b="0">
              <a:effectLst/>
            </a:rPr>
            <a:t>Justage der Fokusmesskammer an der Beamline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de-DE" b="0">
            <a:effectLst/>
          </a:endParaRPr>
        </a:p>
        <a:p>
          <a:pPr lvl="1"/>
          <a:r>
            <a:rPr lang="de-DE" sz="1100">
              <a:solidFill>
                <a:schemeClr val="dk1"/>
              </a:solidFill>
              <a:latin typeface="+mn-lt"/>
              <a:ea typeface="+mn-ea"/>
              <a:cs typeface="+mn-cs"/>
            </a:rPr>
            <a:t>	- Toleranz</a:t>
          </a:r>
          <a:r>
            <a:rPr lang="de-DE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der </a:t>
          </a:r>
          <a:r>
            <a:rPr lang="de-DE" sz="1100">
              <a:solidFill>
                <a:schemeClr val="dk1"/>
              </a:solidFill>
              <a:latin typeface="+mn-lt"/>
              <a:ea typeface="+mn-ea"/>
              <a:cs typeface="+mn-cs"/>
            </a:rPr>
            <a:t> "central beam"-Richtung  +/- 0.5 mrad</a:t>
          </a:r>
        </a:p>
        <a:p>
          <a:pPr lvl="1"/>
          <a:r>
            <a:rPr lang="de-DE" sz="1100"/>
            <a:t>	- Toleranz </a:t>
          </a:r>
          <a:r>
            <a:rPr lang="de-DE" sz="1100" baseline="0"/>
            <a:t> zur Design-Fokusposition +/- 3 mm in beam direction  and +/-1 mm horizontal and vertical</a:t>
          </a:r>
        </a:p>
        <a:p>
          <a:pPr lvl="1"/>
          <a:r>
            <a:rPr lang="de-DE" sz="1100" baseline="0"/>
            <a:t>	- Toleranz Rotation des Kamerabildes  um den central beam +/-0.5 mrad</a:t>
          </a:r>
          <a:endParaRPr lang="de-DE" sz="1100"/>
        </a:p>
        <a:p>
          <a:pPr lvl="1"/>
          <a:r>
            <a:rPr lang="de-DE" sz="1100"/>
            <a:t>- Kamerabilder (768 x 576 x 8Bit monochrom) einer Intensitätsverteilung (Bemerkung :  unbekannte  Gamma-Korrektur)</a:t>
          </a:r>
        </a:p>
        <a:p>
          <a:pPr lvl="1"/>
          <a:r>
            <a:rPr lang="de-DE" sz="1100"/>
            <a:t>- Auflösungs-Limit</a:t>
          </a:r>
          <a:r>
            <a:rPr lang="de-DE" sz="1100" baseline="0"/>
            <a:t> , geschätzt </a:t>
          </a:r>
          <a:r>
            <a:rPr lang="de-DE" sz="1100"/>
            <a:t>~10 µm</a:t>
          </a:r>
        </a:p>
        <a:p>
          <a:pPr lvl="1"/>
          <a:r>
            <a:rPr lang="de-DE" sz="1100"/>
            <a:t>- nominelle Auflösung 1.6 µm / pixel</a:t>
          </a:r>
        </a:p>
        <a:p>
          <a:pPr lvl="1"/>
          <a:r>
            <a:rPr lang="de-DE" sz="1100"/>
            <a:t>- Hinweis: </a:t>
          </a:r>
          <a:r>
            <a:rPr lang="de-DE" sz="1100" baseline="0"/>
            <a:t>einige defekte Bereiche des Phosphor-Schirmes der Fokusmesskammer beinflussen die gemessene Intensität in diesen Bereichen</a:t>
          </a:r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topLeftCell="A10" workbookViewId="0">
      <selection activeCell="E30" sqref="E30:E35"/>
    </sheetView>
  </sheetViews>
  <sheetFormatPr baseColWidth="10" defaultRowHeight="15" x14ac:dyDescent="0.25"/>
  <cols>
    <col min="1" max="1" width="14.140625" customWidth="1"/>
    <col min="4" max="4" width="15" customWidth="1"/>
  </cols>
  <sheetData>
    <row r="1" spans="1:16" x14ac:dyDescent="0.25">
      <c r="A1" s="1" t="s">
        <v>0</v>
      </c>
    </row>
    <row r="2" spans="1:16" x14ac:dyDescent="0.25">
      <c r="A2" s="1"/>
    </row>
    <row r="3" spans="1:16" x14ac:dyDescent="0.25">
      <c r="A3" s="1"/>
    </row>
    <row r="4" spans="1:16" x14ac:dyDescent="0.25">
      <c r="A4" s="2" t="s">
        <v>12</v>
      </c>
      <c r="B4" s="3"/>
      <c r="C4" s="3"/>
      <c r="D4" s="3"/>
      <c r="E4" s="3"/>
      <c r="F4" s="3"/>
      <c r="G4" s="3"/>
      <c r="H4" s="3"/>
      <c r="I4" s="11"/>
    </row>
    <row r="5" spans="1:16" x14ac:dyDescent="0.25">
      <c r="A5" s="4"/>
      <c r="B5" s="3"/>
      <c r="C5" s="5"/>
      <c r="D5" s="6"/>
      <c r="E5" s="6" t="s">
        <v>9</v>
      </c>
      <c r="F5" s="6"/>
      <c r="G5" s="6" t="s">
        <v>9</v>
      </c>
      <c r="H5" s="5"/>
      <c r="I5" s="28"/>
    </row>
    <row r="6" spans="1:16" x14ac:dyDescent="0.25">
      <c r="A6" s="3"/>
      <c r="B6" s="3"/>
      <c r="C6" s="5"/>
      <c r="D6" s="6" t="s">
        <v>6</v>
      </c>
      <c r="E6" s="6" t="s">
        <v>4</v>
      </c>
      <c r="F6" s="6"/>
      <c r="G6" s="6" t="s">
        <v>5</v>
      </c>
      <c r="H6" s="5"/>
      <c r="I6" s="28"/>
    </row>
    <row r="7" spans="1:16" x14ac:dyDescent="0.25">
      <c r="A7" s="3"/>
      <c r="B7" s="3"/>
      <c r="C7" s="6" t="s">
        <v>2</v>
      </c>
      <c r="D7" s="6" t="s">
        <v>2</v>
      </c>
      <c r="E7" s="6" t="s">
        <v>2</v>
      </c>
      <c r="F7" s="6" t="s">
        <v>1</v>
      </c>
      <c r="G7" s="6" t="s">
        <v>1</v>
      </c>
      <c r="H7" s="6" t="s">
        <v>3</v>
      </c>
      <c r="I7" s="29"/>
    </row>
    <row r="8" spans="1:16" x14ac:dyDescent="0.25">
      <c r="A8" s="4" t="s">
        <v>10</v>
      </c>
      <c r="B8" s="3"/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30"/>
    </row>
    <row r="9" spans="1:16" x14ac:dyDescent="0.25">
      <c r="A9" s="4"/>
      <c r="B9" s="3"/>
      <c r="C9" s="8" t="s">
        <v>11</v>
      </c>
      <c r="D9" s="8" t="s">
        <v>11</v>
      </c>
      <c r="E9" s="8" t="s">
        <v>11</v>
      </c>
      <c r="F9" s="8" t="s">
        <v>11</v>
      </c>
      <c r="G9" s="8" t="s">
        <v>11</v>
      </c>
      <c r="H9" s="8" t="s">
        <v>11</v>
      </c>
      <c r="I9" s="31"/>
    </row>
    <row r="10" spans="1:16" x14ac:dyDescent="0.25">
      <c r="A10" s="3"/>
      <c r="B10" s="3"/>
      <c r="C10" s="3"/>
      <c r="D10" s="3"/>
      <c r="E10" s="3"/>
      <c r="F10" s="3"/>
      <c r="G10" s="3"/>
      <c r="H10" s="3"/>
      <c r="I10" s="11"/>
      <c r="K10" s="1" t="s">
        <v>88</v>
      </c>
    </row>
    <row r="11" spans="1:16" x14ac:dyDescent="0.25">
      <c r="A11" s="4" t="s">
        <v>1</v>
      </c>
      <c r="B11" s="3" t="s">
        <v>7</v>
      </c>
      <c r="C11" s="9">
        <v>0</v>
      </c>
      <c r="D11" s="9">
        <v>0</v>
      </c>
      <c r="E11" s="9">
        <v>0</v>
      </c>
      <c r="F11" s="9">
        <v>-1</v>
      </c>
      <c r="G11" s="9">
        <v>1</v>
      </c>
      <c r="H11" s="9">
        <v>0</v>
      </c>
      <c r="I11" s="10"/>
      <c r="K11">
        <f t="array" ref="K11:P16">TRANSPOSE(C11:H16)</f>
        <v>0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s="4" t="s">
        <v>2</v>
      </c>
      <c r="B12" s="3" t="s">
        <v>7</v>
      </c>
      <c r="C12" s="9">
        <v>1</v>
      </c>
      <c r="D12" s="9">
        <v>1</v>
      </c>
      <c r="E12" s="9">
        <v>-1</v>
      </c>
      <c r="F12" s="9">
        <v>0</v>
      </c>
      <c r="G12" s="9">
        <v>0</v>
      </c>
      <c r="H12" s="9">
        <v>0</v>
      </c>
      <c r="I12" s="10"/>
      <c r="K12">
        <v>0</v>
      </c>
      <c r="L12">
        <v>1</v>
      </c>
      <c r="M12">
        <v>0</v>
      </c>
      <c r="N12">
        <v>0</v>
      </c>
      <c r="O12">
        <v>0</v>
      </c>
      <c r="P12">
        <v>-7.8E-2</v>
      </c>
    </row>
    <row r="13" spans="1:16" x14ac:dyDescent="0.25">
      <c r="A13" s="4" t="s">
        <v>3</v>
      </c>
      <c r="B13" s="3" t="s">
        <v>7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1</v>
      </c>
      <c r="I13" s="10"/>
      <c r="K13">
        <v>0</v>
      </c>
      <c r="L13">
        <v>-1</v>
      </c>
      <c r="M13">
        <v>0</v>
      </c>
      <c r="N13">
        <v>-0.21</v>
      </c>
      <c r="O13">
        <v>0</v>
      </c>
      <c r="P13">
        <v>0</v>
      </c>
    </row>
    <row r="14" spans="1:16" x14ac:dyDescent="0.25">
      <c r="A14" s="4" t="s">
        <v>4</v>
      </c>
      <c r="B14" s="3" t="s">
        <v>8</v>
      </c>
      <c r="C14" s="9">
        <v>0</v>
      </c>
      <c r="D14" s="9">
        <v>0</v>
      </c>
      <c r="E14" s="9">
        <v>-0.21</v>
      </c>
      <c r="F14" s="9">
        <v>0</v>
      </c>
      <c r="G14" s="9">
        <v>0</v>
      </c>
      <c r="H14" s="9">
        <v>0</v>
      </c>
      <c r="I14" s="10"/>
      <c r="K14">
        <v>-1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s="4" t="s">
        <v>5</v>
      </c>
      <c r="B15" s="3" t="s">
        <v>8</v>
      </c>
      <c r="C15" s="9">
        <v>0</v>
      </c>
      <c r="D15" s="9">
        <v>0</v>
      </c>
      <c r="E15" s="9">
        <v>0</v>
      </c>
      <c r="F15" s="9">
        <v>0</v>
      </c>
      <c r="G15" s="9">
        <v>0.21</v>
      </c>
      <c r="H15" s="9">
        <v>0</v>
      </c>
      <c r="I15" s="10"/>
      <c r="K15">
        <v>1</v>
      </c>
      <c r="L15">
        <v>0</v>
      </c>
      <c r="M15">
        <v>0</v>
      </c>
      <c r="N15">
        <v>0</v>
      </c>
      <c r="O15">
        <v>0.21</v>
      </c>
      <c r="P15">
        <v>0</v>
      </c>
    </row>
    <row r="16" spans="1:16" x14ac:dyDescent="0.25">
      <c r="A16" s="4" t="s">
        <v>6</v>
      </c>
      <c r="B16" s="3" t="s">
        <v>8</v>
      </c>
      <c r="C16" s="9">
        <v>0</v>
      </c>
      <c r="D16" s="9">
        <v>-7.8E-2</v>
      </c>
      <c r="E16" s="9">
        <v>0</v>
      </c>
      <c r="F16" s="9">
        <v>0</v>
      </c>
      <c r="G16" s="9">
        <v>0</v>
      </c>
      <c r="H16" s="9">
        <v>0</v>
      </c>
      <c r="I16" s="10"/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</row>
    <row r="17" spans="1:20" x14ac:dyDescent="0.25">
      <c r="A17" s="4"/>
      <c r="B17" s="3"/>
      <c r="C17" s="9"/>
      <c r="D17" s="9"/>
      <c r="E17" s="9"/>
      <c r="F17" s="9"/>
      <c r="G17" s="9"/>
      <c r="H17" s="9"/>
      <c r="I17" s="10"/>
    </row>
    <row r="18" spans="1:20" x14ac:dyDescent="0.25">
      <c r="A18" s="4"/>
      <c r="B18" s="3"/>
      <c r="C18" s="7"/>
      <c r="D18" s="7"/>
      <c r="E18" s="7"/>
      <c r="F18" s="7"/>
      <c r="G18" s="7"/>
      <c r="H18" s="7"/>
      <c r="I18" s="30"/>
    </row>
    <row r="19" spans="1:20" x14ac:dyDescent="0.25">
      <c r="A19" s="3"/>
      <c r="B19" s="3"/>
      <c r="C19" s="9"/>
      <c r="D19" s="9"/>
      <c r="E19" s="9"/>
      <c r="F19" s="9"/>
      <c r="G19" s="9"/>
      <c r="H19" s="9"/>
      <c r="I19" s="10"/>
    </row>
    <row r="20" spans="1:20" x14ac:dyDescent="0.25">
      <c r="A20" s="3"/>
      <c r="B20" s="3"/>
      <c r="C20" s="3"/>
      <c r="D20" s="3"/>
      <c r="E20" s="3"/>
      <c r="F20" s="3"/>
      <c r="G20" s="3"/>
      <c r="H20" s="3"/>
      <c r="I20" s="11"/>
    </row>
    <row r="21" spans="1:20" x14ac:dyDescent="0.25">
      <c r="A21" s="4" t="s">
        <v>23</v>
      </c>
      <c r="B21" s="3"/>
      <c r="C21" s="3"/>
      <c r="D21" s="4" t="s">
        <v>19</v>
      </c>
      <c r="E21" s="22" t="s">
        <v>22</v>
      </c>
      <c r="G21" s="11"/>
      <c r="K21" s="1" t="s">
        <v>89</v>
      </c>
      <c r="S21" s="3"/>
      <c r="T21" s="4" t="s">
        <v>21</v>
      </c>
    </row>
    <row r="22" spans="1:20" x14ac:dyDescent="0.25">
      <c r="A22" s="4" t="s">
        <v>13</v>
      </c>
      <c r="B22" s="26">
        <v>0</v>
      </c>
      <c r="C22" s="3"/>
      <c r="D22" s="7">
        <v>1</v>
      </c>
      <c r="E22" s="23">
        <f t="shared" ref="E22:E27" si="0">S22+T22</f>
        <v>4</v>
      </c>
      <c r="G22" s="27"/>
      <c r="K22">
        <f t="array" ref="K22:P27">MINVERSE(K11:P16)</f>
        <v>0</v>
      </c>
      <c r="L22">
        <v>0</v>
      </c>
      <c r="M22">
        <v>0</v>
      </c>
      <c r="N22">
        <v>-1</v>
      </c>
      <c r="O22">
        <v>0</v>
      </c>
      <c r="P22">
        <v>0</v>
      </c>
      <c r="S22" s="20">
        <f t="array" ref="S22:S27">MMULT(K11:P16,B22:B27)</f>
        <v>0</v>
      </c>
      <c r="T22" s="3">
        <v>4</v>
      </c>
    </row>
    <row r="23" spans="1:20" x14ac:dyDescent="0.25">
      <c r="A23" s="4" t="s">
        <v>14</v>
      </c>
      <c r="B23" s="26">
        <v>0</v>
      </c>
      <c r="C23" s="3"/>
      <c r="D23" s="7">
        <v>2</v>
      </c>
      <c r="E23" s="23">
        <f t="shared" si="0"/>
        <v>5</v>
      </c>
      <c r="G23" s="27"/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S23" s="20">
        <v>0</v>
      </c>
      <c r="T23" s="3">
        <v>5</v>
      </c>
    </row>
    <row r="24" spans="1:20" x14ac:dyDescent="0.25">
      <c r="A24" s="4" t="s">
        <v>15</v>
      </c>
      <c r="B24" s="26">
        <v>0</v>
      </c>
      <c r="C24" s="3"/>
      <c r="D24" s="7">
        <v>3</v>
      </c>
      <c r="E24" s="23">
        <f t="shared" si="0"/>
        <v>3.9007999999999985</v>
      </c>
      <c r="G24" s="27"/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S24" s="20">
        <v>0.20079999999999842</v>
      </c>
      <c r="T24" s="3">
        <v>3.7</v>
      </c>
    </row>
    <row r="25" spans="1:20" x14ac:dyDescent="0.25">
      <c r="A25" s="4" t="s">
        <v>16</v>
      </c>
      <c r="B25" s="26">
        <v>-0.95619047619046871</v>
      </c>
      <c r="C25" s="3"/>
      <c r="D25" s="7">
        <v>4</v>
      </c>
      <c r="E25" s="23">
        <f t="shared" si="0"/>
        <v>20</v>
      </c>
      <c r="G25" s="27"/>
      <c r="K25">
        <v>-4.7619047619047619</v>
      </c>
      <c r="L25">
        <v>0</v>
      </c>
      <c r="M25">
        <v>-4.7619047619047619</v>
      </c>
      <c r="N25">
        <v>0</v>
      </c>
      <c r="O25">
        <v>0</v>
      </c>
      <c r="P25">
        <v>0</v>
      </c>
      <c r="S25" s="20">
        <v>0</v>
      </c>
      <c r="T25" s="3">
        <v>20</v>
      </c>
    </row>
    <row r="26" spans="1:20" x14ac:dyDescent="0.25">
      <c r="A26" s="4" t="s">
        <v>17</v>
      </c>
      <c r="B26" s="26">
        <v>0</v>
      </c>
      <c r="C26" s="3"/>
      <c r="D26" s="7">
        <v>5</v>
      </c>
      <c r="E26" s="23">
        <f t="shared" si="0"/>
        <v>5</v>
      </c>
      <c r="G26" s="27"/>
      <c r="K26">
        <v>0</v>
      </c>
      <c r="L26">
        <v>0</v>
      </c>
      <c r="M26">
        <v>0</v>
      </c>
      <c r="N26">
        <v>4.7619047619047619</v>
      </c>
      <c r="O26">
        <v>4.7619047619047619</v>
      </c>
      <c r="P26">
        <v>0</v>
      </c>
      <c r="S26" s="20">
        <v>0</v>
      </c>
      <c r="T26" s="3">
        <v>5</v>
      </c>
    </row>
    <row r="27" spans="1:20" x14ac:dyDescent="0.25">
      <c r="A27" s="4" t="s">
        <v>18</v>
      </c>
      <c r="B27" s="26">
        <v>0</v>
      </c>
      <c r="C27" s="3"/>
      <c r="D27" s="7">
        <v>6</v>
      </c>
      <c r="E27" s="23">
        <f t="shared" si="0"/>
        <v>5</v>
      </c>
      <c r="G27" s="27"/>
      <c r="K27">
        <v>12.820512820512821</v>
      </c>
      <c r="L27">
        <v>-12.820512820512821</v>
      </c>
      <c r="M27">
        <v>0</v>
      </c>
      <c r="N27">
        <v>0</v>
      </c>
      <c r="O27">
        <v>0</v>
      </c>
      <c r="P27">
        <v>0</v>
      </c>
      <c r="S27" s="20">
        <v>0</v>
      </c>
      <c r="T27" s="3">
        <v>5</v>
      </c>
    </row>
    <row r="29" spans="1:20" x14ac:dyDescent="0.25">
      <c r="A29" s="21" t="s">
        <v>87</v>
      </c>
      <c r="B29" s="3"/>
      <c r="C29" s="4"/>
      <c r="D29" s="4" t="s">
        <v>27</v>
      </c>
      <c r="E29" s="3"/>
      <c r="K29" s="1"/>
    </row>
    <row r="30" spans="1:20" x14ac:dyDescent="0.25">
      <c r="A30" s="7">
        <v>1</v>
      </c>
      <c r="B30" s="26">
        <v>2.5</v>
      </c>
      <c r="C30" s="3"/>
      <c r="D30" s="25" t="str">
        <f t="shared" ref="D30:D35" si="1">A22</f>
        <v>TX [mm]</v>
      </c>
      <c r="E30" s="24">
        <f t="array" ref="E30:E35">MMULT(K22:P27,S30:S35)</f>
        <v>0</v>
      </c>
      <c r="S30" s="20">
        <f t="shared" ref="S30:S35" si="2">B30-T22</f>
        <v>-1.5</v>
      </c>
    </row>
    <row r="31" spans="1:20" x14ac:dyDescent="0.25">
      <c r="A31" s="7">
        <v>2</v>
      </c>
      <c r="B31" s="26">
        <v>2.7</v>
      </c>
      <c r="C31" s="3"/>
      <c r="D31" s="25" t="str">
        <f t="shared" si="1"/>
        <v>TY [mm]</v>
      </c>
      <c r="E31" s="24">
        <v>-1.5</v>
      </c>
      <c r="S31" s="20">
        <f t="shared" si="2"/>
        <v>-2.2999999999999998</v>
      </c>
    </row>
    <row r="32" spans="1:20" x14ac:dyDescent="0.25">
      <c r="A32" s="7">
        <v>3</v>
      </c>
      <c r="B32" s="26">
        <v>5.4180000000000001</v>
      </c>
      <c r="C32" s="3"/>
      <c r="D32" s="25" t="str">
        <f t="shared" si="1"/>
        <v>TZ [mm]</v>
      </c>
      <c r="E32" s="24">
        <v>0</v>
      </c>
      <c r="S32" s="20">
        <f t="shared" si="2"/>
        <v>1.718</v>
      </c>
    </row>
    <row r="33" spans="1:19" x14ac:dyDescent="0.25">
      <c r="A33" s="7">
        <v>4</v>
      </c>
      <c r="B33" s="26">
        <v>20</v>
      </c>
      <c r="C33" s="3"/>
      <c r="D33" s="25" t="str">
        <f t="shared" si="1"/>
        <v>RX [mrad]</v>
      </c>
      <c r="E33" s="24">
        <v>-1.038095238095238</v>
      </c>
      <c r="G33" s="10"/>
      <c r="H33" s="10"/>
      <c r="I33" s="10"/>
      <c r="S33" s="20">
        <f t="shared" si="2"/>
        <v>0</v>
      </c>
    </row>
    <row r="34" spans="1:19" x14ac:dyDescent="0.25">
      <c r="A34" s="7">
        <v>5</v>
      </c>
      <c r="B34" s="26">
        <v>5.3</v>
      </c>
      <c r="C34" s="3"/>
      <c r="D34" s="25" t="str">
        <f t="shared" si="1"/>
        <v>RY [mrad]</v>
      </c>
      <c r="E34" s="24">
        <v>1.4285714285714277</v>
      </c>
      <c r="G34" s="10"/>
      <c r="H34" s="10"/>
      <c r="I34" s="10"/>
      <c r="S34" s="20">
        <f t="shared" si="2"/>
        <v>0.29999999999999982</v>
      </c>
    </row>
    <row r="35" spans="1:19" x14ac:dyDescent="0.25">
      <c r="A35" s="7">
        <v>6</v>
      </c>
      <c r="B35" s="26">
        <v>5</v>
      </c>
      <c r="C35" s="3"/>
      <c r="D35" s="25" t="str">
        <f t="shared" si="1"/>
        <v>RZ [mrad]</v>
      </c>
      <c r="E35" s="24">
        <v>10.256410256410252</v>
      </c>
      <c r="G35" s="10"/>
      <c r="H35" s="10"/>
      <c r="I35" s="10"/>
      <c r="S35" s="20">
        <f t="shared" si="2"/>
        <v>0</v>
      </c>
    </row>
    <row r="36" spans="1:19" x14ac:dyDescent="0.25">
      <c r="C36" s="10"/>
      <c r="G36" s="10"/>
      <c r="H36" s="10"/>
      <c r="I36" s="10"/>
    </row>
    <row r="37" spans="1:19" x14ac:dyDescent="0.25">
      <c r="C37" s="10"/>
      <c r="G37" s="10"/>
      <c r="H37" s="10"/>
      <c r="I37" s="10"/>
    </row>
    <row r="38" spans="1:19" x14ac:dyDescent="0.25">
      <c r="C38" s="10"/>
      <c r="G38" s="10"/>
      <c r="H38" s="10"/>
      <c r="I38" s="10"/>
    </row>
    <row r="39" spans="1:19" x14ac:dyDescent="0.25">
      <c r="D39">
        <v>-0.38095238095237799</v>
      </c>
    </row>
    <row r="40" spans="1:19" x14ac:dyDescent="0.25">
      <c r="D40">
        <v>-0.95619047619046871</v>
      </c>
    </row>
    <row r="41" spans="1:19" x14ac:dyDescent="0.25">
      <c r="A41" t="s">
        <v>26</v>
      </c>
    </row>
    <row r="42" spans="1:19" x14ac:dyDescent="0.25">
      <c r="C42" t="s">
        <v>24</v>
      </c>
      <c r="D42">
        <f>D40-D39</f>
        <v>-0.57523809523809066</v>
      </c>
    </row>
    <row r="48" spans="1:19" x14ac:dyDescent="0.25">
      <c r="B48" s="10"/>
      <c r="C48" s="10"/>
      <c r="D48" s="10"/>
    </row>
    <row r="49" spans="2:4" x14ac:dyDescent="0.25">
      <c r="B49" s="10"/>
      <c r="C49" s="10"/>
      <c r="D49" s="11"/>
    </row>
    <row r="50" spans="2:4" x14ac:dyDescent="0.25">
      <c r="B50" s="10"/>
      <c r="C50" s="10"/>
      <c r="D50" s="11"/>
    </row>
    <row r="51" spans="2:4" x14ac:dyDescent="0.25">
      <c r="C51" s="10"/>
      <c r="D51" s="10"/>
    </row>
    <row r="52" spans="2:4" x14ac:dyDescent="0.25">
      <c r="B52" s="10"/>
      <c r="C52" s="10"/>
      <c r="D52" s="10"/>
    </row>
    <row r="53" spans="2:4" x14ac:dyDescent="0.25">
      <c r="B53" s="10"/>
      <c r="C53" s="10"/>
      <c r="D53" s="10"/>
    </row>
    <row r="54" spans="2:4" x14ac:dyDescent="0.25">
      <c r="D54" s="11"/>
    </row>
    <row r="55" spans="2:4" x14ac:dyDescent="0.25">
      <c r="D55" s="11"/>
    </row>
  </sheetData>
  <pageMargins left="0.7" right="0.7" top="0.78740157499999996" bottom="0.78740157499999996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workbookViewId="0">
      <selection activeCell="E30" sqref="E30:E35"/>
    </sheetView>
  </sheetViews>
  <sheetFormatPr baseColWidth="10" defaultRowHeight="15" x14ac:dyDescent="0.25"/>
  <cols>
    <col min="1" max="1" width="14.140625" customWidth="1"/>
    <col min="4" max="4" width="15" customWidth="1"/>
  </cols>
  <sheetData>
    <row r="1" spans="1:16" x14ac:dyDescent="0.25">
      <c r="A1" s="1" t="s">
        <v>0</v>
      </c>
    </row>
    <row r="2" spans="1:16" x14ac:dyDescent="0.25">
      <c r="A2" s="1"/>
    </row>
    <row r="3" spans="1:16" x14ac:dyDescent="0.25">
      <c r="A3" s="1"/>
    </row>
    <row r="4" spans="1:16" x14ac:dyDescent="0.25">
      <c r="A4" s="2" t="s">
        <v>20</v>
      </c>
      <c r="B4" s="3"/>
      <c r="C4" s="3"/>
      <c r="D4" s="3"/>
      <c r="E4" s="3"/>
      <c r="F4" s="3"/>
      <c r="G4" s="3"/>
      <c r="H4" s="3"/>
      <c r="I4" s="11"/>
    </row>
    <row r="5" spans="1:16" x14ac:dyDescent="0.25">
      <c r="A5" s="4"/>
      <c r="B5" s="3"/>
      <c r="C5" s="5"/>
      <c r="D5" s="6"/>
      <c r="E5" s="6" t="s">
        <v>9</v>
      </c>
      <c r="F5" s="6"/>
      <c r="G5" s="6" t="s">
        <v>9</v>
      </c>
      <c r="H5" s="5"/>
      <c r="I5" s="28"/>
    </row>
    <row r="6" spans="1:16" x14ac:dyDescent="0.25">
      <c r="A6" s="3"/>
      <c r="B6" s="3"/>
      <c r="C6" s="5"/>
      <c r="D6" s="6" t="s">
        <v>6</v>
      </c>
      <c r="E6" s="6" t="s">
        <v>4</v>
      </c>
      <c r="F6" s="6"/>
      <c r="G6" s="6" t="s">
        <v>5</v>
      </c>
      <c r="H6" s="5"/>
      <c r="I6" s="28"/>
    </row>
    <row r="7" spans="1:16" x14ac:dyDescent="0.25">
      <c r="A7" s="3"/>
      <c r="B7" s="3"/>
      <c r="C7" s="6" t="s">
        <v>2</v>
      </c>
      <c r="D7" s="6" t="s">
        <v>2</v>
      </c>
      <c r="E7" s="6" t="s">
        <v>2</v>
      </c>
      <c r="F7" s="6" t="s">
        <v>1</v>
      </c>
      <c r="G7" s="6" t="s">
        <v>1</v>
      </c>
      <c r="H7" s="6" t="s">
        <v>3</v>
      </c>
      <c r="I7" s="29"/>
    </row>
    <row r="8" spans="1:16" x14ac:dyDescent="0.25">
      <c r="A8" s="4" t="s">
        <v>10</v>
      </c>
      <c r="B8" s="3"/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30"/>
    </row>
    <row r="9" spans="1:16" x14ac:dyDescent="0.25">
      <c r="A9" s="4"/>
      <c r="B9" s="3"/>
      <c r="C9" s="8" t="s">
        <v>11</v>
      </c>
      <c r="D9" s="8" t="s">
        <v>11</v>
      </c>
      <c r="E9" s="8" t="s">
        <v>11</v>
      </c>
      <c r="F9" s="8" t="s">
        <v>11</v>
      </c>
      <c r="G9" s="8" t="s">
        <v>11</v>
      </c>
      <c r="H9" s="8" t="s">
        <v>11</v>
      </c>
      <c r="I9" s="31"/>
    </row>
    <row r="10" spans="1:16" x14ac:dyDescent="0.25">
      <c r="A10" s="3"/>
      <c r="B10" s="3"/>
      <c r="C10" s="3"/>
      <c r="D10" s="3"/>
      <c r="E10" s="3"/>
      <c r="F10" s="3"/>
      <c r="G10" s="3"/>
      <c r="H10" s="3"/>
      <c r="I10" s="11"/>
      <c r="K10" s="1" t="s">
        <v>88</v>
      </c>
    </row>
    <row r="11" spans="1:16" x14ac:dyDescent="0.25">
      <c r="A11" s="4" t="s">
        <v>1</v>
      </c>
      <c r="B11" s="3" t="s">
        <v>7</v>
      </c>
      <c r="C11" s="9">
        <v>0</v>
      </c>
      <c r="D11" s="9">
        <v>0</v>
      </c>
      <c r="E11" s="9">
        <v>0</v>
      </c>
      <c r="F11" s="9">
        <v>-1</v>
      </c>
      <c r="G11" s="9">
        <v>1</v>
      </c>
      <c r="H11" s="9">
        <v>0</v>
      </c>
      <c r="I11" s="10"/>
      <c r="K11">
        <f t="array" ref="K11:P16">TRANSPOSE(C11:H16)</f>
        <v>0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s="4" t="s">
        <v>2</v>
      </c>
      <c r="B12" s="3" t="s">
        <v>7</v>
      </c>
      <c r="C12" s="9">
        <v>1</v>
      </c>
      <c r="D12" s="9">
        <v>1</v>
      </c>
      <c r="E12" s="9">
        <v>-1</v>
      </c>
      <c r="F12" s="9">
        <v>0</v>
      </c>
      <c r="G12" s="9">
        <v>0</v>
      </c>
      <c r="H12" s="9">
        <v>0</v>
      </c>
      <c r="I12" s="10"/>
      <c r="K12">
        <v>0</v>
      </c>
      <c r="L12">
        <v>1</v>
      </c>
      <c r="M12">
        <v>0</v>
      </c>
      <c r="N12">
        <v>0</v>
      </c>
      <c r="O12">
        <v>0</v>
      </c>
      <c r="P12">
        <v>-7.8E-2</v>
      </c>
    </row>
    <row r="13" spans="1:16" x14ac:dyDescent="0.25">
      <c r="A13" s="4" t="s">
        <v>3</v>
      </c>
      <c r="B13" s="3" t="s">
        <v>7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1</v>
      </c>
      <c r="I13" s="10"/>
      <c r="K13">
        <v>0</v>
      </c>
      <c r="L13">
        <v>-1</v>
      </c>
      <c r="M13">
        <v>0</v>
      </c>
      <c r="N13">
        <v>-0.21</v>
      </c>
      <c r="O13">
        <v>0</v>
      </c>
      <c r="P13">
        <v>0</v>
      </c>
    </row>
    <row r="14" spans="1:16" x14ac:dyDescent="0.25">
      <c r="A14" s="4" t="s">
        <v>4</v>
      </c>
      <c r="B14" s="3" t="s">
        <v>8</v>
      </c>
      <c r="C14" s="9">
        <v>0</v>
      </c>
      <c r="D14" s="9">
        <v>0</v>
      </c>
      <c r="E14" s="9">
        <f>-210/1000</f>
        <v>-0.21</v>
      </c>
      <c r="F14" s="9">
        <v>0</v>
      </c>
      <c r="G14" s="9">
        <v>0</v>
      </c>
      <c r="H14" s="9">
        <v>0</v>
      </c>
      <c r="I14" s="10"/>
      <c r="K14">
        <v>-1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s="4" t="s">
        <v>5</v>
      </c>
      <c r="B15" s="3" t="s">
        <v>8</v>
      </c>
      <c r="C15" s="9">
        <v>0</v>
      </c>
      <c r="D15" s="9">
        <v>0</v>
      </c>
      <c r="E15" s="9">
        <v>0</v>
      </c>
      <c r="F15" s="9">
        <v>0</v>
      </c>
      <c r="G15" s="9">
        <f>210/1000</f>
        <v>0.21</v>
      </c>
      <c r="H15" s="9">
        <v>0</v>
      </c>
      <c r="I15" s="10"/>
      <c r="K15">
        <v>1</v>
      </c>
      <c r="L15">
        <v>0</v>
      </c>
      <c r="M15">
        <v>0</v>
      </c>
      <c r="N15">
        <v>0</v>
      </c>
      <c r="O15">
        <v>0.21</v>
      </c>
      <c r="P15">
        <v>0</v>
      </c>
    </row>
    <row r="16" spans="1:16" x14ac:dyDescent="0.25">
      <c r="A16" s="4" t="s">
        <v>6</v>
      </c>
      <c r="B16" s="3" t="s">
        <v>8</v>
      </c>
      <c r="C16" s="9">
        <v>0</v>
      </c>
      <c r="D16" s="9">
        <f>-78/1000</f>
        <v>-7.8E-2</v>
      </c>
      <c r="E16" s="9">
        <v>0</v>
      </c>
      <c r="F16" s="9">
        <v>0</v>
      </c>
      <c r="G16" s="9">
        <v>0</v>
      </c>
      <c r="H16" s="9">
        <v>0</v>
      </c>
      <c r="I16" s="10"/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</row>
    <row r="17" spans="1:20" x14ac:dyDescent="0.25">
      <c r="A17" s="4"/>
      <c r="B17" s="3"/>
      <c r="C17" s="9"/>
      <c r="D17" s="9"/>
      <c r="E17" s="9"/>
      <c r="F17" s="9"/>
      <c r="G17" s="9"/>
      <c r="H17" s="9"/>
      <c r="I17" s="10"/>
    </row>
    <row r="18" spans="1:20" x14ac:dyDescent="0.25">
      <c r="A18" s="4"/>
      <c r="B18" s="3"/>
      <c r="C18" s="7"/>
      <c r="D18" s="7"/>
      <c r="E18" s="7"/>
      <c r="F18" s="7"/>
      <c r="G18" s="7"/>
      <c r="H18" s="7"/>
      <c r="I18" s="30"/>
    </row>
    <row r="19" spans="1:20" x14ac:dyDescent="0.25">
      <c r="A19" s="3"/>
      <c r="B19" s="3"/>
      <c r="C19" s="9"/>
      <c r="D19" s="9"/>
      <c r="E19" s="9"/>
      <c r="F19" s="9"/>
      <c r="G19" s="9"/>
      <c r="H19" s="9"/>
      <c r="I19" s="10"/>
    </row>
    <row r="20" spans="1:20" x14ac:dyDescent="0.25">
      <c r="A20" s="3"/>
      <c r="B20" s="3"/>
      <c r="C20" s="3"/>
      <c r="D20" s="3"/>
      <c r="E20" s="3"/>
      <c r="F20" s="3"/>
      <c r="G20" s="3"/>
      <c r="H20" s="3"/>
      <c r="I20" s="11"/>
    </row>
    <row r="21" spans="1:20" x14ac:dyDescent="0.25">
      <c r="A21" s="4" t="s">
        <v>23</v>
      </c>
      <c r="B21" s="3"/>
      <c r="C21" s="3"/>
      <c r="D21" s="4" t="s">
        <v>19</v>
      </c>
      <c r="E21" s="22" t="s">
        <v>22</v>
      </c>
      <c r="G21" s="11"/>
      <c r="K21" s="1" t="s">
        <v>89</v>
      </c>
      <c r="S21" s="3"/>
      <c r="T21" s="4" t="s">
        <v>21</v>
      </c>
    </row>
    <row r="22" spans="1:20" x14ac:dyDescent="0.25">
      <c r="A22" s="4" t="s">
        <v>13</v>
      </c>
      <c r="B22" s="26">
        <v>0</v>
      </c>
      <c r="C22" s="3"/>
      <c r="D22" s="7">
        <v>1</v>
      </c>
      <c r="E22" s="23">
        <f t="shared" ref="E22:E27" si="0">S22+T22</f>
        <v>14.78</v>
      </c>
      <c r="G22" s="27"/>
      <c r="K22">
        <f t="array" ref="K22:P27">MINVERSE(K11:P16)</f>
        <v>0</v>
      </c>
      <c r="L22">
        <v>0</v>
      </c>
      <c r="M22">
        <v>0</v>
      </c>
      <c r="N22">
        <v>-1</v>
      </c>
      <c r="O22">
        <v>0</v>
      </c>
      <c r="P22">
        <v>0</v>
      </c>
      <c r="S22" s="20">
        <f t="array" ref="S22:S27">MMULT(K11:P16,B22:B27)</f>
        <v>0</v>
      </c>
      <c r="T22" s="20">
        <v>14.78</v>
      </c>
    </row>
    <row r="23" spans="1:20" x14ac:dyDescent="0.25">
      <c r="A23" s="4" t="s">
        <v>14</v>
      </c>
      <c r="B23" s="26">
        <v>0</v>
      </c>
      <c r="C23" s="3"/>
      <c r="D23" s="7">
        <v>2</v>
      </c>
      <c r="E23" s="23">
        <f t="shared" si="0"/>
        <v>5.9499820000000003</v>
      </c>
      <c r="G23" s="27"/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S23" s="20">
        <v>0.44998199999999999</v>
      </c>
      <c r="T23" s="20">
        <v>5.5</v>
      </c>
    </row>
    <row r="24" spans="1:20" x14ac:dyDescent="0.25">
      <c r="A24" s="4" t="s">
        <v>15</v>
      </c>
      <c r="B24" s="26">
        <v>0</v>
      </c>
      <c r="C24" s="3"/>
      <c r="D24" s="7">
        <v>3</v>
      </c>
      <c r="E24" s="23">
        <f t="shared" si="0"/>
        <v>6.1150000000000002</v>
      </c>
      <c r="G24" s="27"/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S24" s="20">
        <v>6.5000000000000419E-2</v>
      </c>
      <c r="T24" s="20">
        <v>6.05</v>
      </c>
    </row>
    <row r="25" spans="1:20" x14ac:dyDescent="0.25">
      <c r="A25" s="4" t="s">
        <v>16</v>
      </c>
      <c r="B25" s="26">
        <v>-0.30952380952381153</v>
      </c>
      <c r="C25" s="3"/>
      <c r="D25" s="7">
        <v>4</v>
      </c>
      <c r="E25" s="23">
        <f t="shared" si="0"/>
        <v>6.05</v>
      </c>
      <c r="G25" s="27"/>
      <c r="K25">
        <v>-4.7619047619047619</v>
      </c>
      <c r="L25">
        <v>0</v>
      </c>
      <c r="M25">
        <v>-4.7619047619047619</v>
      </c>
      <c r="N25">
        <v>0</v>
      </c>
      <c r="O25">
        <v>0</v>
      </c>
      <c r="P25">
        <v>0</v>
      </c>
      <c r="S25" s="20">
        <v>0</v>
      </c>
      <c r="T25" s="20">
        <v>6.05</v>
      </c>
    </row>
    <row r="26" spans="1:20" x14ac:dyDescent="0.25">
      <c r="A26" s="4" t="s">
        <v>17</v>
      </c>
      <c r="B26" s="26">
        <v>0</v>
      </c>
      <c r="C26" s="3"/>
      <c r="D26" s="7">
        <v>5</v>
      </c>
      <c r="E26" s="23">
        <f t="shared" si="0"/>
        <v>5</v>
      </c>
      <c r="G26" s="27"/>
      <c r="K26">
        <v>0</v>
      </c>
      <c r="L26">
        <v>0</v>
      </c>
      <c r="M26">
        <v>0</v>
      </c>
      <c r="N26">
        <v>4.7619047619047619</v>
      </c>
      <c r="O26">
        <v>4.7619047619047619</v>
      </c>
      <c r="P26">
        <v>0</v>
      </c>
      <c r="S26" s="20">
        <v>0</v>
      </c>
      <c r="T26" s="20">
        <v>5</v>
      </c>
    </row>
    <row r="27" spans="1:20" x14ac:dyDescent="0.25">
      <c r="A27" s="4" t="s">
        <v>18</v>
      </c>
      <c r="B27" s="26">
        <v>-5.7690000000000001</v>
      </c>
      <c r="C27" s="3"/>
      <c r="D27" s="7">
        <v>6</v>
      </c>
      <c r="E27" s="23">
        <f t="shared" si="0"/>
        <v>5.5</v>
      </c>
      <c r="G27" s="27"/>
      <c r="K27">
        <v>12.820512820512821</v>
      </c>
      <c r="L27">
        <v>-12.820512820512821</v>
      </c>
      <c r="M27">
        <v>0</v>
      </c>
      <c r="N27">
        <v>0</v>
      </c>
      <c r="O27">
        <v>0</v>
      </c>
      <c r="P27">
        <v>0</v>
      </c>
      <c r="S27" s="20">
        <v>0</v>
      </c>
      <c r="T27" s="20">
        <v>5.5</v>
      </c>
    </row>
    <row r="29" spans="1:20" x14ac:dyDescent="0.25">
      <c r="A29" s="21" t="s">
        <v>87</v>
      </c>
      <c r="B29" s="3"/>
      <c r="C29" s="4"/>
      <c r="D29" s="4" t="s">
        <v>27</v>
      </c>
      <c r="E29" s="3"/>
      <c r="K29" s="1"/>
    </row>
    <row r="30" spans="1:20" x14ac:dyDescent="0.25">
      <c r="A30" s="7">
        <v>1</v>
      </c>
      <c r="B30" s="26">
        <v>14.78</v>
      </c>
      <c r="C30" s="3"/>
      <c r="D30" s="25" t="str">
        <f t="shared" ref="D30:D35" si="1">A22</f>
        <v>TX [mm]</v>
      </c>
      <c r="E30" s="24">
        <f t="array" ref="E30:E35">MMULT(K22:P27,S30:S35)</f>
        <v>0</v>
      </c>
      <c r="S30" s="20">
        <f t="shared" ref="S30:S35" si="2">B30-T22</f>
        <v>0</v>
      </c>
    </row>
    <row r="31" spans="1:20" x14ac:dyDescent="0.25">
      <c r="A31" s="7">
        <v>2</v>
      </c>
      <c r="B31" s="26">
        <v>3.53</v>
      </c>
      <c r="C31" s="3"/>
      <c r="D31" s="25" t="str">
        <f t="shared" si="1"/>
        <v>TY [mm]</v>
      </c>
      <c r="E31" s="24">
        <v>0</v>
      </c>
      <c r="S31" s="20">
        <f t="shared" si="2"/>
        <v>-1.9700000000000002</v>
      </c>
    </row>
    <row r="32" spans="1:20" x14ac:dyDescent="0.25">
      <c r="A32" s="7">
        <v>3</v>
      </c>
      <c r="B32" s="26">
        <v>6.0010000000000003</v>
      </c>
      <c r="C32" s="3"/>
      <c r="D32" s="25" t="str">
        <f t="shared" si="1"/>
        <v>TZ [mm]</v>
      </c>
      <c r="E32" s="24">
        <v>0</v>
      </c>
      <c r="S32" s="20">
        <f t="shared" si="2"/>
        <v>-4.8999999999999488E-2</v>
      </c>
    </row>
    <row r="33" spans="1:19" x14ac:dyDescent="0.25">
      <c r="A33" s="7">
        <v>4</v>
      </c>
      <c r="B33" s="26">
        <v>6.05</v>
      </c>
      <c r="C33" s="3"/>
      <c r="D33" s="25" t="str">
        <f t="shared" si="1"/>
        <v>RX [mrad]</v>
      </c>
      <c r="E33" s="24">
        <v>0.23333333333333089</v>
      </c>
      <c r="G33" s="10"/>
      <c r="H33" s="10"/>
      <c r="I33" s="10"/>
      <c r="S33" s="20">
        <f t="shared" si="2"/>
        <v>0</v>
      </c>
    </row>
    <row r="34" spans="1:19" x14ac:dyDescent="0.25">
      <c r="A34" s="7">
        <v>5</v>
      </c>
      <c r="B34" s="26">
        <v>5</v>
      </c>
      <c r="C34" s="3"/>
      <c r="D34" s="25" t="str">
        <f t="shared" si="1"/>
        <v>RY [mrad]</v>
      </c>
      <c r="E34" s="24">
        <v>0</v>
      </c>
      <c r="G34" s="10"/>
      <c r="H34" s="10"/>
      <c r="I34" s="10"/>
      <c r="S34" s="20">
        <f t="shared" si="2"/>
        <v>0</v>
      </c>
    </row>
    <row r="35" spans="1:19" x14ac:dyDescent="0.25">
      <c r="A35" s="7">
        <v>6</v>
      </c>
      <c r="B35" s="26">
        <v>5.5</v>
      </c>
      <c r="C35" s="3"/>
      <c r="D35" s="25" t="str">
        <f t="shared" si="1"/>
        <v>RZ [mrad]</v>
      </c>
      <c r="E35" s="24">
        <v>25.256410256410259</v>
      </c>
      <c r="G35" s="10"/>
      <c r="H35" s="10"/>
      <c r="I35" s="10"/>
      <c r="S35" s="20">
        <f t="shared" si="2"/>
        <v>0</v>
      </c>
    </row>
    <row r="36" spans="1:19" x14ac:dyDescent="0.25">
      <c r="C36" s="10"/>
      <c r="G36" s="10"/>
      <c r="H36" s="10"/>
      <c r="I36" s="10"/>
    </row>
    <row r="37" spans="1:19" x14ac:dyDescent="0.25">
      <c r="C37" s="10"/>
      <c r="G37" s="10"/>
      <c r="H37" s="10"/>
      <c r="I37" s="10"/>
    </row>
    <row r="39" spans="1:19" x14ac:dyDescent="0.25">
      <c r="D39">
        <v>6.05</v>
      </c>
    </row>
    <row r="40" spans="1:19" x14ac:dyDescent="0.25">
      <c r="D40">
        <v>6.16</v>
      </c>
    </row>
    <row r="42" spans="1:19" x14ac:dyDescent="0.25">
      <c r="B42" s="10"/>
      <c r="C42" s="10"/>
      <c r="D42" s="10"/>
    </row>
    <row r="43" spans="1:19" x14ac:dyDescent="0.25">
      <c r="B43" s="10"/>
      <c r="C43" s="10"/>
      <c r="D43" s="3">
        <v>0.13095238095238459</v>
      </c>
    </row>
    <row r="44" spans="1:19" x14ac:dyDescent="0.25">
      <c r="B44" s="10"/>
      <c r="C44" s="10"/>
      <c r="D44" s="3">
        <v>-0.30952380952381153</v>
      </c>
    </row>
    <row r="45" spans="1:19" x14ac:dyDescent="0.25">
      <c r="B45" t="s">
        <v>26</v>
      </c>
      <c r="C45" s="10"/>
      <c r="D45" s="10"/>
    </row>
    <row r="46" spans="1:19" x14ac:dyDescent="0.25">
      <c r="B46" s="10"/>
      <c r="C46" s="10" t="s">
        <v>24</v>
      </c>
      <c r="D46" s="10">
        <f>D44-D43</f>
        <v>-0.44047619047619613</v>
      </c>
    </row>
    <row r="47" spans="1:19" x14ac:dyDescent="0.25">
      <c r="B47" s="10"/>
      <c r="C47" s="10"/>
      <c r="D47" s="10"/>
    </row>
    <row r="48" spans="1:19" x14ac:dyDescent="0.25">
      <c r="D48">
        <v>0</v>
      </c>
    </row>
    <row r="49" spans="2:4" x14ac:dyDescent="0.25">
      <c r="D49" s="3">
        <v>5.7692307692307576</v>
      </c>
    </row>
    <row r="50" spans="2:4" x14ac:dyDescent="0.25">
      <c r="B50" t="s">
        <v>26</v>
      </c>
    </row>
    <row r="51" spans="2:4" x14ac:dyDescent="0.25">
      <c r="C51" t="s">
        <v>25</v>
      </c>
      <c r="D51">
        <f>D49-D48</f>
        <v>5.7692307692307576</v>
      </c>
    </row>
  </sheetData>
  <pageMargins left="0.7" right="0.7" top="0.78740157499999996" bottom="0.78740157499999996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6"/>
  <sheetViews>
    <sheetView topLeftCell="C22" zoomScaleNormal="100" workbookViewId="0">
      <selection activeCell="C44" sqref="C44"/>
    </sheetView>
  </sheetViews>
  <sheetFormatPr baseColWidth="10" defaultRowHeight="15" x14ac:dyDescent="0.25"/>
  <cols>
    <col min="1" max="1" width="30.42578125" customWidth="1"/>
    <col min="2" max="19" width="12.7109375" customWidth="1"/>
  </cols>
  <sheetData>
    <row r="1" spans="1:46" ht="21" x14ac:dyDescent="0.35">
      <c r="A1" s="66" t="s">
        <v>172</v>
      </c>
    </row>
    <row r="2" spans="1:46" x14ac:dyDescent="0.25">
      <c r="A2" s="1" t="s">
        <v>173</v>
      </c>
    </row>
    <row r="3" spans="1:46" x14ac:dyDescent="0.25">
      <c r="A3" s="1"/>
      <c r="B3" s="12"/>
    </row>
    <row r="4" spans="1:46" x14ac:dyDescent="0.25">
      <c r="A4" s="1"/>
      <c r="B4" s="12"/>
    </row>
    <row r="5" spans="1:46" x14ac:dyDescent="0.25">
      <c r="A5" s="1"/>
      <c r="B5" s="12"/>
    </row>
    <row r="6" spans="1:46" s="70" customFormat="1" x14ac:dyDescent="0.25">
      <c r="A6" s="57" t="s">
        <v>158</v>
      </c>
      <c r="B6" s="68">
        <v>44239</v>
      </c>
      <c r="D6" s="63">
        <v>44264</v>
      </c>
      <c r="E6" s="1"/>
      <c r="T6" s="72">
        <v>44268</v>
      </c>
      <c r="AF6" s="70" t="s">
        <v>79</v>
      </c>
      <c r="AS6" s="70" t="s">
        <v>223</v>
      </c>
    </row>
    <row r="7" spans="1:46" x14ac:dyDescent="0.25">
      <c r="A7" s="1" t="s">
        <v>157</v>
      </c>
      <c r="B7" s="1" t="s">
        <v>148</v>
      </c>
      <c r="C7" s="1" t="s">
        <v>149</v>
      </c>
      <c r="D7" s="1" t="s">
        <v>181</v>
      </c>
      <c r="E7" s="1" t="s">
        <v>182</v>
      </c>
      <c r="F7" s="1" t="s">
        <v>183</v>
      </c>
      <c r="G7" s="1" t="s">
        <v>185</v>
      </c>
      <c r="H7" s="1" t="s">
        <v>184</v>
      </c>
      <c r="I7" s="1" t="s">
        <v>186</v>
      </c>
      <c r="J7" s="1" t="s">
        <v>187</v>
      </c>
      <c r="K7" s="1" t="s">
        <v>188</v>
      </c>
      <c r="L7" s="1" t="s">
        <v>189</v>
      </c>
      <c r="M7" s="1" t="s">
        <v>190</v>
      </c>
      <c r="N7" s="1" t="s">
        <v>191</v>
      </c>
      <c r="O7" s="1" t="s">
        <v>192</v>
      </c>
      <c r="P7" s="1" t="s">
        <v>193</v>
      </c>
      <c r="Q7" s="1" t="s">
        <v>194</v>
      </c>
      <c r="R7" s="1" t="s">
        <v>195</v>
      </c>
      <c r="S7" s="1" t="s">
        <v>196</v>
      </c>
      <c r="T7" s="73" t="s">
        <v>197</v>
      </c>
      <c r="U7" s="1" t="s">
        <v>198</v>
      </c>
      <c r="V7" s="1" t="s">
        <v>199</v>
      </c>
      <c r="W7" s="1" t="s">
        <v>200</v>
      </c>
      <c r="X7" s="1" t="s">
        <v>201</v>
      </c>
      <c r="Y7" s="1" t="s">
        <v>202</v>
      </c>
      <c r="Z7" s="1" t="s">
        <v>203</v>
      </c>
      <c r="AA7" s="1" t="s">
        <v>204</v>
      </c>
      <c r="AB7" s="1" t="s">
        <v>205</v>
      </c>
      <c r="AC7" s="1" t="s">
        <v>206</v>
      </c>
      <c r="AD7" s="1" t="s">
        <v>207</v>
      </c>
      <c r="AE7" s="1" t="s">
        <v>208</v>
      </c>
      <c r="AF7" s="1" t="s">
        <v>209</v>
      </c>
      <c r="AG7" s="1" t="s">
        <v>210</v>
      </c>
      <c r="AH7" s="1" t="s">
        <v>211</v>
      </c>
      <c r="AI7" s="1" t="s">
        <v>212</v>
      </c>
      <c r="AJ7" s="1" t="s">
        <v>213</v>
      </c>
      <c r="AK7" s="1" t="s">
        <v>214</v>
      </c>
      <c r="AL7" s="1" t="s">
        <v>215</v>
      </c>
      <c r="AM7" s="1" t="s">
        <v>216</v>
      </c>
      <c r="AN7" s="1" t="s">
        <v>217</v>
      </c>
      <c r="AO7" s="1" t="s">
        <v>218</v>
      </c>
      <c r="AP7" s="1" t="s">
        <v>219</v>
      </c>
      <c r="AQ7" s="1" t="s">
        <v>220</v>
      </c>
      <c r="AR7" s="1" t="s">
        <v>221</v>
      </c>
      <c r="AS7" s="1" t="s">
        <v>222</v>
      </c>
      <c r="AT7" s="1" t="s">
        <v>224</v>
      </c>
    </row>
    <row r="8" spans="1:46" x14ac:dyDescent="0.25">
      <c r="A8" s="1" t="s">
        <v>180</v>
      </c>
      <c r="B8" s="1"/>
      <c r="C8" s="1"/>
      <c r="D8">
        <v>20.37</v>
      </c>
      <c r="E8">
        <v>20.37</v>
      </c>
      <c r="F8">
        <v>20.37</v>
      </c>
      <c r="G8">
        <v>20.37</v>
      </c>
      <c r="H8">
        <v>20.37</v>
      </c>
      <c r="I8">
        <v>20.37</v>
      </c>
      <c r="J8">
        <v>20.37</v>
      </c>
      <c r="K8">
        <v>20.37</v>
      </c>
      <c r="L8">
        <v>20.37</v>
      </c>
      <c r="M8">
        <v>20.37</v>
      </c>
      <c r="N8">
        <v>20.37</v>
      </c>
      <c r="O8">
        <v>20.37</v>
      </c>
      <c r="P8">
        <v>20.37</v>
      </c>
      <c r="Q8">
        <v>20.37</v>
      </c>
      <c r="R8">
        <v>20.37</v>
      </c>
      <c r="S8">
        <v>20.37</v>
      </c>
      <c r="T8">
        <v>20.37</v>
      </c>
      <c r="AS8">
        <v>20.37</v>
      </c>
    </row>
    <row r="9" spans="1:46" x14ac:dyDescent="0.25">
      <c r="A9" s="1" t="s">
        <v>150</v>
      </c>
      <c r="B9">
        <v>218.5</v>
      </c>
      <c r="D9">
        <v>261</v>
      </c>
      <c r="E9">
        <v>261</v>
      </c>
      <c r="F9">
        <v>261</v>
      </c>
      <c r="G9">
        <v>261</v>
      </c>
      <c r="H9">
        <v>261</v>
      </c>
      <c r="I9">
        <v>261</v>
      </c>
      <c r="J9">
        <v>261</v>
      </c>
      <c r="K9">
        <v>261</v>
      </c>
      <c r="L9">
        <v>261</v>
      </c>
      <c r="M9">
        <v>261</v>
      </c>
      <c r="N9">
        <v>261</v>
      </c>
      <c r="O9">
        <v>261</v>
      </c>
      <c r="P9">
        <v>261</v>
      </c>
      <c r="Q9">
        <v>261</v>
      </c>
      <c r="R9">
        <v>261</v>
      </c>
      <c r="S9">
        <v>261</v>
      </c>
      <c r="T9">
        <v>287</v>
      </c>
      <c r="AS9">
        <v>287</v>
      </c>
    </row>
    <row r="10" spans="1:46" x14ac:dyDescent="0.25">
      <c r="G10" s="64"/>
      <c r="H10" s="65"/>
    </row>
    <row r="11" spans="1:46" x14ac:dyDescent="0.25">
      <c r="A11" s="1" t="s">
        <v>145</v>
      </c>
    </row>
    <row r="12" spans="1:46" x14ac:dyDescent="0.25">
      <c r="A12" s="59" t="s">
        <v>159</v>
      </c>
      <c r="B12">
        <v>586360</v>
      </c>
      <c r="D12">
        <v>586360</v>
      </c>
      <c r="E12">
        <v>586360</v>
      </c>
      <c r="F12">
        <v>586360</v>
      </c>
      <c r="G12">
        <v>586360</v>
      </c>
      <c r="H12">
        <v>586360</v>
      </c>
      <c r="I12">
        <v>586360</v>
      </c>
      <c r="J12">
        <v>586360</v>
      </c>
      <c r="K12">
        <v>586360</v>
      </c>
      <c r="L12">
        <v>586360</v>
      </c>
      <c r="M12">
        <v>586360</v>
      </c>
      <c r="N12">
        <v>586360</v>
      </c>
      <c r="O12">
        <v>586360</v>
      </c>
      <c r="P12">
        <v>586360</v>
      </c>
      <c r="Q12">
        <v>586360</v>
      </c>
      <c r="R12">
        <v>586360</v>
      </c>
      <c r="S12">
        <v>586360</v>
      </c>
      <c r="T12">
        <v>586360</v>
      </c>
      <c r="AS12">
        <v>586360</v>
      </c>
    </row>
    <row r="13" spans="1:46" x14ac:dyDescent="0.25">
      <c r="A13" s="59" t="s">
        <v>160</v>
      </c>
      <c r="B13">
        <v>320000</v>
      </c>
      <c r="D13">
        <v>320000</v>
      </c>
      <c r="E13">
        <v>320000</v>
      </c>
      <c r="F13">
        <v>320000</v>
      </c>
      <c r="G13">
        <v>320000</v>
      </c>
      <c r="H13">
        <v>320000</v>
      </c>
      <c r="I13">
        <v>320000</v>
      </c>
      <c r="J13">
        <v>320000</v>
      </c>
      <c r="K13">
        <v>320000</v>
      </c>
      <c r="L13">
        <v>320000</v>
      </c>
      <c r="M13">
        <v>320000</v>
      </c>
      <c r="N13">
        <v>320000</v>
      </c>
      <c r="O13">
        <v>320000</v>
      </c>
      <c r="P13">
        <v>320000</v>
      </c>
      <c r="Q13">
        <v>320000</v>
      </c>
      <c r="R13">
        <v>320000</v>
      </c>
      <c r="S13">
        <v>320000</v>
      </c>
      <c r="T13">
        <v>320000</v>
      </c>
      <c r="AS13">
        <v>320000</v>
      </c>
    </row>
    <row r="14" spans="1:46" x14ac:dyDescent="0.25">
      <c r="A14" s="59" t="s">
        <v>161</v>
      </c>
      <c r="B14">
        <v>303500</v>
      </c>
      <c r="D14">
        <v>303500</v>
      </c>
      <c r="E14">
        <v>303500</v>
      </c>
      <c r="F14">
        <v>303500</v>
      </c>
      <c r="G14">
        <v>303500</v>
      </c>
      <c r="H14">
        <v>303500</v>
      </c>
      <c r="I14">
        <v>303500</v>
      </c>
      <c r="J14">
        <v>303500</v>
      </c>
      <c r="K14">
        <v>303500</v>
      </c>
      <c r="L14">
        <v>303500</v>
      </c>
      <c r="M14">
        <v>303500</v>
      </c>
      <c r="N14">
        <v>303500</v>
      </c>
      <c r="O14">
        <v>303500</v>
      </c>
      <c r="P14">
        <v>303500</v>
      </c>
      <c r="Q14">
        <v>303500</v>
      </c>
      <c r="R14">
        <v>303500</v>
      </c>
      <c r="S14">
        <v>303500</v>
      </c>
      <c r="T14">
        <v>319500</v>
      </c>
      <c r="X14">
        <v>339500</v>
      </c>
      <c r="Y14">
        <v>349500</v>
      </c>
      <c r="Z14">
        <v>309500</v>
      </c>
      <c r="AA14">
        <v>329500</v>
      </c>
      <c r="AB14">
        <v>339500</v>
      </c>
      <c r="AS14">
        <v>339500</v>
      </c>
      <c r="AT14">
        <v>319500</v>
      </c>
    </row>
    <row r="15" spans="1:46" x14ac:dyDescent="0.25">
      <c r="A15" s="59" t="s">
        <v>162</v>
      </c>
      <c r="B15">
        <v>360000</v>
      </c>
      <c r="D15">
        <v>360000</v>
      </c>
      <c r="E15">
        <v>360000</v>
      </c>
      <c r="F15">
        <v>360000</v>
      </c>
      <c r="G15">
        <v>360000</v>
      </c>
      <c r="H15">
        <v>360000</v>
      </c>
      <c r="I15">
        <v>310000</v>
      </c>
      <c r="J15">
        <v>250000</v>
      </c>
      <c r="K15">
        <v>250000</v>
      </c>
      <c r="L15">
        <v>360000</v>
      </c>
      <c r="M15">
        <v>360000</v>
      </c>
      <c r="N15">
        <v>360000</v>
      </c>
      <c r="O15">
        <v>360000</v>
      </c>
      <c r="P15">
        <v>360000</v>
      </c>
      <c r="Q15">
        <v>360000</v>
      </c>
      <c r="R15">
        <v>360000</v>
      </c>
      <c r="S15">
        <v>360000</v>
      </c>
      <c r="T15">
        <v>320000</v>
      </c>
      <c r="AS15">
        <v>320000</v>
      </c>
    </row>
    <row r="16" spans="1:46" x14ac:dyDescent="0.25">
      <c r="A16" s="59" t="s">
        <v>163</v>
      </c>
      <c r="B16">
        <v>205000</v>
      </c>
      <c r="D16">
        <v>205000</v>
      </c>
      <c r="E16">
        <v>205000</v>
      </c>
      <c r="F16">
        <v>205000</v>
      </c>
      <c r="G16">
        <v>205000</v>
      </c>
      <c r="H16">
        <v>205000</v>
      </c>
      <c r="I16">
        <v>205000</v>
      </c>
      <c r="J16">
        <v>205000</v>
      </c>
      <c r="K16">
        <v>205000</v>
      </c>
      <c r="L16">
        <v>205000</v>
      </c>
      <c r="M16">
        <v>205000</v>
      </c>
      <c r="N16">
        <v>205000</v>
      </c>
      <c r="O16">
        <v>205000</v>
      </c>
      <c r="P16">
        <v>205000</v>
      </c>
      <c r="Q16">
        <v>205000</v>
      </c>
      <c r="R16">
        <v>205000</v>
      </c>
      <c r="S16">
        <v>205000</v>
      </c>
      <c r="T16">
        <v>205000</v>
      </c>
      <c r="AS16">
        <v>205000</v>
      </c>
    </row>
    <row r="17" spans="1:45" x14ac:dyDescent="0.25">
      <c r="G17" s="64"/>
      <c r="H17" s="65"/>
    </row>
    <row r="18" spans="1:45" x14ac:dyDescent="0.25">
      <c r="A18" s="57" t="s">
        <v>144</v>
      </c>
      <c r="G18" s="64"/>
      <c r="H18" s="57"/>
    </row>
    <row r="19" spans="1:45" x14ac:dyDescent="0.25">
      <c r="A19" s="58" t="s">
        <v>164</v>
      </c>
      <c r="B19" s="61">
        <f>B25-B26</f>
        <v>4</v>
      </c>
      <c r="C19" s="61">
        <f t="shared" ref="C19:D19" si="0">C25-C26</f>
        <v>0</v>
      </c>
      <c r="D19" s="61">
        <f t="shared" si="0"/>
        <v>2</v>
      </c>
      <c r="E19" s="61">
        <f>E25-E26</f>
        <v>4</v>
      </c>
      <c r="F19" s="61">
        <f>F25-F26</f>
        <v>4</v>
      </c>
      <c r="G19" s="61">
        <f>G25-G26</f>
        <v>4</v>
      </c>
      <c r="H19" s="61">
        <f>H25-H26</f>
        <v>0.2</v>
      </c>
      <c r="I19" s="61">
        <f t="shared" ref="I19:K19" si="1">I25-I26</f>
        <v>0.2</v>
      </c>
      <c r="J19" s="61">
        <f t="shared" si="1"/>
        <v>0.2</v>
      </c>
      <c r="K19" s="61">
        <f t="shared" si="1"/>
        <v>2</v>
      </c>
      <c r="L19" s="61">
        <f t="shared" ref="L19:Q19" si="2">L25-L26</f>
        <v>2</v>
      </c>
      <c r="M19" s="61">
        <f t="shared" si="2"/>
        <v>2</v>
      </c>
      <c r="N19" s="61">
        <f t="shared" si="2"/>
        <v>2</v>
      </c>
      <c r="O19" s="61">
        <f t="shared" si="2"/>
        <v>2</v>
      </c>
      <c r="P19" s="61">
        <f t="shared" si="2"/>
        <v>2</v>
      </c>
      <c r="Q19" s="61">
        <f t="shared" si="2"/>
        <v>2</v>
      </c>
      <c r="R19" s="61">
        <f t="shared" ref="R19:S19" si="3">R25-R26</f>
        <v>2</v>
      </c>
      <c r="S19" s="61">
        <f t="shared" si="3"/>
        <v>2</v>
      </c>
      <c r="T19" s="61">
        <f t="shared" ref="T19" si="4">T25-T26</f>
        <v>2</v>
      </c>
      <c r="AS19" s="61">
        <f t="shared" ref="AS19" si="5">AS25-AS26</f>
        <v>2</v>
      </c>
    </row>
    <row r="20" spans="1:45" x14ac:dyDescent="0.25">
      <c r="A20" s="58" t="s">
        <v>165</v>
      </c>
      <c r="B20" s="62">
        <f>B23-B24</f>
        <v>2</v>
      </c>
      <c r="C20" s="62">
        <f t="shared" ref="C20:D20" si="6">C23-C24</f>
        <v>0</v>
      </c>
      <c r="D20" s="62">
        <f t="shared" si="6"/>
        <v>1</v>
      </c>
      <c r="E20" s="62">
        <f t="shared" ref="E20:F20" si="7">E23-E24</f>
        <v>0.1</v>
      </c>
      <c r="F20" s="62">
        <f t="shared" si="7"/>
        <v>0.1</v>
      </c>
      <c r="G20" s="62">
        <f t="shared" ref="G20:H20" si="8">G23-G24</f>
        <v>0.2</v>
      </c>
      <c r="H20" s="62">
        <f t="shared" si="8"/>
        <v>4</v>
      </c>
      <c r="I20" s="62">
        <f t="shared" ref="I20:K20" si="9">I23-I24</f>
        <v>4</v>
      </c>
      <c r="J20" s="62">
        <f t="shared" si="9"/>
        <v>4</v>
      </c>
      <c r="K20" s="62">
        <f t="shared" si="9"/>
        <v>1</v>
      </c>
      <c r="L20" s="62">
        <f t="shared" ref="L20:Q20" si="10">L23-L24</f>
        <v>1</v>
      </c>
      <c r="M20" s="62">
        <f t="shared" si="10"/>
        <v>1</v>
      </c>
      <c r="N20" s="62">
        <f t="shared" si="10"/>
        <v>1</v>
      </c>
      <c r="O20" s="62">
        <f t="shared" si="10"/>
        <v>1</v>
      </c>
      <c r="P20" s="62">
        <f t="shared" si="10"/>
        <v>1</v>
      </c>
      <c r="Q20" s="62">
        <f t="shared" si="10"/>
        <v>1</v>
      </c>
      <c r="R20" s="62">
        <f t="shared" ref="R20:S20" si="11">R23-R24</f>
        <v>1</v>
      </c>
      <c r="S20" s="62">
        <f t="shared" si="11"/>
        <v>1</v>
      </c>
      <c r="T20" s="62">
        <f t="shared" ref="T20" si="12">T23-T24</f>
        <v>1</v>
      </c>
      <c r="AS20" s="62">
        <f t="shared" ref="AS20" si="13">AS23-AS24</f>
        <v>1</v>
      </c>
    </row>
    <row r="21" spans="1:45" x14ac:dyDescent="0.25">
      <c r="A21" s="58" t="s">
        <v>169</v>
      </c>
      <c r="B21" s="62">
        <f>(-B25-B26)/2</f>
        <v>0.60000000000000009</v>
      </c>
      <c r="C21" s="62">
        <f t="shared" ref="C21:D21" si="14">(-C25-C26)/2</f>
        <v>0</v>
      </c>
      <c r="D21" s="62">
        <f t="shared" si="14"/>
        <v>0</v>
      </c>
      <c r="E21" s="62">
        <f t="shared" ref="E21:F21" si="15">(-E25-E26)/2</f>
        <v>0</v>
      </c>
      <c r="F21" s="62">
        <f t="shared" si="15"/>
        <v>0</v>
      </c>
      <c r="G21" s="62">
        <f t="shared" ref="G21:H21" si="16">(-G25-G26)/2</f>
        <v>0</v>
      </c>
      <c r="H21" s="62">
        <f t="shared" si="16"/>
        <v>0</v>
      </c>
      <c r="I21" s="62">
        <f t="shared" ref="I21:K21" si="17">(-I25-I26)/2</f>
        <v>0</v>
      </c>
      <c r="J21" s="62">
        <f t="shared" si="17"/>
        <v>0</v>
      </c>
      <c r="K21" s="62">
        <f t="shared" si="17"/>
        <v>0</v>
      </c>
      <c r="L21" s="62">
        <f t="shared" ref="L21:Q21" si="18">(-L25-L26)/2</f>
        <v>0</v>
      </c>
      <c r="M21" s="62">
        <f t="shared" si="18"/>
        <v>0</v>
      </c>
      <c r="N21" s="62">
        <f t="shared" si="18"/>
        <v>0</v>
      </c>
      <c r="O21" s="62">
        <f t="shared" si="18"/>
        <v>0</v>
      </c>
      <c r="P21" s="62">
        <f t="shared" si="18"/>
        <v>0</v>
      </c>
      <c r="Q21" s="62">
        <f t="shared" si="18"/>
        <v>0</v>
      </c>
      <c r="R21" s="62">
        <f t="shared" ref="R21:S21" si="19">(-R25-R26)/2</f>
        <v>0</v>
      </c>
      <c r="S21" s="62">
        <f t="shared" si="19"/>
        <v>0</v>
      </c>
      <c r="T21" s="62">
        <f t="shared" ref="T21" si="20">(-T25-T26)/2</f>
        <v>-0.14999999999999997</v>
      </c>
      <c r="AS21" s="62">
        <f t="shared" ref="AS21" si="21">(-AS25-AS26)/2</f>
        <v>-0.14999999999999997</v>
      </c>
    </row>
    <row r="22" spans="1:45" x14ac:dyDescent="0.25">
      <c r="A22" s="58" t="s">
        <v>170</v>
      </c>
      <c r="B22" s="62">
        <f>(B23+B24)/2</f>
        <v>0</v>
      </c>
      <c r="C22" s="62">
        <f t="shared" ref="C22:H22" si="22">(C23+C24)/2</f>
        <v>0</v>
      </c>
      <c r="D22" s="62">
        <f t="shared" si="22"/>
        <v>0</v>
      </c>
      <c r="E22" s="62">
        <f t="shared" si="22"/>
        <v>-0.05</v>
      </c>
      <c r="F22" s="62">
        <f t="shared" si="22"/>
        <v>-0.05</v>
      </c>
      <c r="G22" s="62">
        <f t="shared" si="22"/>
        <v>0</v>
      </c>
      <c r="H22" s="62">
        <f t="shared" si="22"/>
        <v>0</v>
      </c>
      <c r="I22" s="62">
        <f t="shared" ref="I22" si="23">(I23+I24)/2</f>
        <v>0</v>
      </c>
      <c r="J22" s="62">
        <f t="shared" ref="J22" si="24">(J23+J24)/2</f>
        <v>0</v>
      </c>
      <c r="K22" s="62">
        <f t="shared" ref="K22:L22" si="25">(K23+K24)/2</f>
        <v>0</v>
      </c>
      <c r="L22" s="62">
        <f t="shared" si="25"/>
        <v>0</v>
      </c>
      <c r="M22" s="62">
        <f t="shared" ref="M22:Q22" si="26">(M23+M24)/2</f>
        <v>0</v>
      </c>
      <c r="N22" s="62">
        <f t="shared" si="26"/>
        <v>0</v>
      </c>
      <c r="O22" s="62">
        <f t="shared" si="26"/>
        <v>0</v>
      </c>
      <c r="P22" s="62">
        <f t="shared" si="26"/>
        <v>0</v>
      </c>
      <c r="Q22" s="62">
        <f t="shared" si="26"/>
        <v>0</v>
      </c>
      <c r="R22" s="62">
        <f t="shared" ref="R22:S22" si="27">(R23+R24)/2</f>
        <v>0</v>
      </c>
      <c r="S22" s="62">
        <f t="shared" si="27"/>
        <v>0</v>
      </c>
      <c r="T22" s="62">
        <f t="shared" ref="T22" si="28">(T23+T24)/2</f>
        <v>-5.0000000000000017E-2</v>
      </c>
      <c r="AS22" s="62">
        <f t="shared" ref="AS22" si="29">(AS23+AS24)/2</f>
        <v>-5.0000000000000017E-2</v>
      </c>
    </row>
    <row r="23" spans="1:45" x14ac:dyDescent="0.25">
      <c r="A23" s="13" t="s">
        <v>166</v>
      </c>
      <c r="B23">
        <v>1</v>
      </c>
      <c r="D23">
        <v>0.5</v>
      </c>
      <c r="E23">
        <v>0</v>
      </c>
      <c r="F23">
        <v>0</v>
      </c>
      <c r="G23">
        <v>0.1</v>
      </c>
      <c r="H23">
        <v>2</v>
      </c>
      <c r="I23">
        <v>2</v>
      </c>
      <c r="J23">
        <v>2</v>
      </c>
      <c r="K23">
        <v>0.5</v>
      </c>
      <c r="L23">
        <v>0.5</v>
      </c>
      <c r="M23">
        <v>0.5</v>
      </c>
      <c r="N23">
        <v>0.5</v>
      </c>
      <c r="O23">
        <v>0.5</v>
      </c>
      <c r="P23">
        <v>0.5</v>
      </c>
      <c r="Q23">
        <v>0.5</v>
      </c>
      <c r="R23">
        <v>0.5</v>
      </c>
      <c r="S23">
        <v>0.5</v>
      </c>
      <c r="T23">
        <v>0.45</v>
      </c>
      <c r="AS23">
        <v>0.45</v>
      </c>
    </row>
    <row r="24" spans="1:45" x14ac:dyDescent="0.25">
      <c r="A24" s="13" t="s">
        <v>167</v>
      </c>
      <c r="B24">
        <v>-1</v>
      </c>
      <c r="D24">
        <v>-0.5</v>
      </c>
      <c r="E24">
        <v>-0.1</v>
      </c>
      <c r="F24">
        <v>-0.1</v>
      </c>
      <c r="G24">
        <v>-0.1</v>
      </c>
      <c r="H24">
        <v>-2</v>
      </c>
      <c r="I24">
        <v>-2</v>
      </c>
      <c r="J24">
        <v>-2</v>
      </c>
      <c r="K24">
        <v>-0.5</v>
      </c>
      <c r="L24">
        <v>-0.5</v>
      </c>
      <c r="M24">
        <v>-0.5</v>
      </c>
      <c r="N24">
        <v>-0.5</v>
      </c>
      <c r="O24">
        <v>-0.5</v>
      </c>
      <c r="P24">
        <v>-0.5</v>
      </c>
      <c r="Q24">
        <v>-0.5</v>
      </c>
      <c r="R24">
        <v>-0.5</v>
      </c>
      <c r="S24">
        <v>-0.5</v>
      </c>
      <c r="T24">
        <v>-0.55000000000000004</v>
      </c>
      <c r="AS24">
        <v>-0.55000000000000004</v>
      </c>
    </row>
    <row r="25" spans="1:45" x14ac:dyDescent="0.25">
      <c r="A25" s="13" t="s">
        <v>168</v>
      </c>
      <c r="B25" s="60">
        <v>1.4</v>
      </c>
      <c r="D25">
        <v>1</v>
      </c>
      <c r="E25">
        <v>2</v>
      </c>
      <c r="F25">
        <v>2</v>
      </c>
      <c r="G25">
        <v>2</v>
      </c>
      <c r="H25">
        <v>0.1</v>
      </c>
      <c r="I25">
        <v>0.1</v>
      </c>
      <c r="J25">
        <v>0.1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1.1499999999999999</v>
      </c>
      <c r="AS25">
        <v>1.1499999999999999</v>
      </c>
    </row>
    <row r="26" spans="1:45" x14ac:dyDescent="0.25">
      <c r="A26" s="13" t="s">
        <v>171</v>
      </c>
      <c r="B26">
        <v>-2.6</v>
      </c>
      <c r="D26">
        <v>-1</v>
      </c>
      <c r="E26">
        <v>-2</v>
      </c>
      <c r="F26">
        <v>-2</v>
      </c>
      <c r="G26">
        <v>-2</v>
      </c>
      <c r="H26">
        <v>-0.1</v>
      </c>
      <c r="I26">
        <v>-0.1</v>
      </c>
      <c r="J26">
        <v>-0.1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-0.85</v>
      </c>
      <c r="AS26">
        <v>-0.85</v>
      </c>
    </row>
    <row r="27" spans="1:45" x14ac:dyDescent="0.25">
      <c r="G27" s="64"/>
      <c r="H27" s="57"/>
    </row>
    <row r="28" spans="1:45" x14ac:dyDescent="0.25">
      <c r="A28" s="1" t="s">
        <v>146</v>
      </c>
      <c r="B28">
        <v>10</v>
      </c>
      <c r="D28">
        <v>10</v>
      </c>
      <c r="M28">
        <v>100</v>
      </c>
      <c r="O28">
        <v>5</v>
      </c>
      <c r="S28">
        <v>100</v>
      </c>
      <c r="T28">
        <v>10</v>
      </c>
      <c r="U28">
        <v>100</v>
      </c>
      <c r="V28">
        <v>10</v>
      </c>
      <c r="W28">
        <v>10</v>
      </c>
      <c r="X28">
        <v>10</v>
      </c>
      <c r="AB28">
        <v>100</v>
      </c>
      <c r="AC28">
        <v>10</v>
      </c>
      <c r="AS28">
        <v>10</v>
      </c>
    </row>
    <row r="29" spans="1:45" x14ac:dyDescent="0.25">
      <c r="A29" s="13" t="s">
        <v>152</v>
      </c>
      <c r="B29">
        <v>7</v>
      </c>
      <c r="D29">
        <v>7</v>
      </c>
      <c r="T29">
        <v>7</v>
      </c>
      <c r="V29">
        <v>5</v>
      </c>
      <c r="W29">
        <v>3</v>
      </c>
      <c r="X29">
        <v>7</v>
      </c>
      <c r="AS29">
        <v>7</v>
      </c>
    </row>
    <row r="30" spans="1:45" x14ac:dyDescent="0.25">
      <c r="A30" s="13" t="s">
        <v>151</v>
      </c>
      <c r="B30">
        <v>170</v>
      </c>
      <c r="D30">
        <v>170</v>
      </c>
      <c r="T30">
        <v>170</v>
      </c>
      <c r="AS30">
        <v>170</v>
      </c>
    </row>
    <row r="31" spans="1:45" x14ac:dyDescent="0.25">
      <c r="A31" s="13"/>
    </row>
    <row r="32" spans="1:45" x14ac:dyDescent="0.25">
      <c r="A32" s="1" t="s">
        <v>143</v>
      </c>
    </row>
    <row r="33" spans="1:45" x14ac:dyDescent="0.25">
      <c r="A33" s="69" t="s">
        <v>177</v>
      </c>
    </row>
    <row r="34" spans="1:45" x14ac:dyDescent="0.25">
      <c r="A34">
        <v>1</v>
      </c>
      <c r="B34">
        <v>4</v>
      </c>
      <c r="D34">
        <v>2.5</v>
      </c>
      <c r="T34">
        <v>2.5</v>
      </c>
      <c r="AS34">
        <v>2.5</v>
      </c>
    </row>
    <row r="35" spans="1:45" x14ac:dyDescent="0.25">
      <c r="A35">
        <v>2</v>
      </c>
      <c r="B35">
        <v>4.2</v>
      </c>
      <c r="D35">
        <v>2.7</v>
      </c>
      <c r="G35" s="64"/>
      <c r="H35" s="56"/>
      <c r="S35">
        <v>2.35</v>
      </c>
      <c r="T35">
        <v>2.7</v>
      </c>
      <c r="AG35">
        <v>2.2000000000000002</v>
      </c>
      <c r="AH35">
        <v>2.4500000000000002</v>
      </c>
      <c r="AJ35">
        <v>2.7</v>
      </c>
      <c r="AP35">
        <v>2.4500000000000002</v>
      </c>
      <c r="AR35">
        <v>2.95</v>
      </c>
      <c r="AS35">
        <v>2.7</v>
      </c>
    </row>
    <row r="36" spans="1:45" x14ac:dyDescent="0.25">
      <c r="A36" s="55" t="s">
        <v>153</v>
      </c>
      <c r="B36">
        <v>3.9180000000000001</v>
      </c>
      <c r="C36">
        <v>3.95</v>
      </c>
      <c r="D36">
        <v>5.4180000000000001</v>
      </c>
      <c r="G36" s="64"/>
      <c r="H36" s="56"/>
      <c r="Q36">
        <v>5.4279999999999999</v>
      </c>
      <c r="T36" s="74">
        <v>5.4279999999999999</v>
      </c>
      <c r="AC36">
        <v>5.4480000000000004</v>
      </c>
      <c r="AD36">
        <v>5.3979999999999997</v>
      </c>
      <c r="AE36">
        <v>5.4180000000000001</v>
      </c>
      <c r="AP36">
        <v>5.4080000000000004</v>
      </c>
      <c r="AS36">
        <v>5.4180000000000001</v>
      </c>
    </row>
    <row r="37" spans="1:45" x14ac:dyDescent="0.25">
      <c r="A37" s="13">
        <v>4</v>
      </c>
      <c r="B37">
        <v>20</v>
      </c>
      <c r="D37">
        <v>20</v>
      </c>
      <c r="G37" s="64"/>
      <c r="H37" s="56"/>
      <c r="T37">
        <v>20</v>
      </c>
      <c r="AS37">
        <v>20</v>
      </c>
    </row>
    <row r="38" spans="1:45" x14ac:dyDescent="0.25">
      <c r="A38" s="55" t="s">
        <v>154</v>
      </c>
      <c r="B38">
        <v>5</v>
      </c>
      <c r="D38">
        <v>5</v>
      </c>
      <c r="G38" s="64"/>
      <c r="H38" s="56"/>
      <c r="T38">
        <v>5</v>
      </c>
      <c r="AM38">
        <v>5.0999999999999996</v>
      </c>
      <c r="AN38">
        <v>5.3</v>
      </c>
      <c r="AS38">
        <v>5</v>
      </c>
    </row>
    <row r="39" spans="1:45" x14ac:dyDescent="0.25">
      <c r="A39">
        <v>6</v>
      </c>
      <c r="B39">
        <v>5</v>
      </c>
      <c r="D39">
        <v>5</v>
      </c>
      <c r="G39" s="64"/>
      <c r="H39" s="65"/>
      <c r="T39">
        <v>6</v>
      </c>
      <c r="AS39">
        <v>6</v>
      </c>
    </row>
    <row r="40" spans="1:45" x14ac:dyDescent="0.25">
      <c r="A40" s="69" t="s">
        <v>178</v>
      </c>
      <c r="G40" s="64"/>
      <c r="H40" s="57"/>
    </row>
    <row r="41" spans="1:45" x14ac:dyDescent="0.25">
      <c r="A41">
        <v>1</v>
      </c>
      <c r="B41">
        <v>14.78</v>
      </c>
      <c r="D41">
        <v>14.78</v>
      </c>
      <c r="G41" s="64"/>
      <c r="H41" s="56"/>
      <c r="T41">
        <v>14.78</v>
      </c>
      <c r="AS41">
        <v>14.78</v>
      </c>
    </row>
    <row r="42" spans="1:45" x14ac:dyDescent="0.25">
      <c r="A42">
        <v>2</v>
      </c>
      <c r="B42">
        <v>3.45</v>
      </c>
      <c r="C42">
        <v>3.62</v>
      </c>
      <c r="D42">
        <v>3.51</v>
      </c>
      <c r="G42" s="64"/>
      <c r="H42" s="56"/>
      <c r="R42">
        <v>3.6749999999999998</v>
      </c>
      <c r="S42">
        <v>3.53</v>
      </c>
      <c r="T42">
        <v>3.53</v>
      </c>
      <c r="AJ42">
        <v>3.28</v>
      </c>
      <c r="AK42">
        <v>3.03</v>
      </c>
      <c r="AL42">
        <v>3.78</v>
      </c>
      <c r="AM42">
        <v>3.53</v>
      </c>
      <c r="AP42">
        <v>3.78</v>
      </c>
      <c r="AQ42">
        <v>3.28</v>
      </c>
      <c r="AR42">
        <v>3.53</v>
      </c>
      <c r="AS42">
        <v>3.53</v>
      </c>
    </row>
    <row r="43" spans="1:45" x14ac:dyDescent="0.25">
      <c r="A43" s="55" t="s">
        <v>155</v>
      </c>
      <c r="B43">
        <v>6</v>
      </c>
      <c r="C43">
        <v>6.01</v>
      </c>
      <c r="D43">
        <v>6.0149999999999997</v>
      </c>
      <c r="G43" s="64"/>
      <c r="H43" s="56"/>
      <c r="N43">
        <v>6.0350000000000001</v>
      </c>
      <c r="P43">
        <v>6.0049999999999999</v>
      </c>
      <c r="T43">
        <v>6.0049999999999999</v>
      </c>
      <c r="AE43">
        <v>6.0129999999999999</v>
      </c>
      <c r="AF43">
        <v>5.9930000000000003</v>
      </c>
      <c r="AI43">
        <v>6.0049999999999999</v>
      </c>
      <c r="AJ43">
        <v>6.0010000000000003</v>
      </c>
      <c r="AP43">
        <v>5.9870000000000001</v>
      </c>
      <c r="AQ43">
        <v>5.9569999999999999</v>
      </c>
      <c r="AR43">
        <v>6.0069999999999997</v>
      </c>
      <c r="AS43">
        <v>6.0010000000000003</v>
      </c>
    </row>
    <row r="44" spans="1:45" x14ac:dyDescent="0.25">
      <c r="A44" s="13">
        <v>4</v>
      </c>
      <c r="B44">
        <v>6.05</v>
      </c>
      <c r="D44">
        <v>6.05</v>
      </c>
      <c r="G44" s="64"/>
      <c r="H44" s="56"/>
      <c r="T44">
        <v>6.05</v>
      </c>
      <c r="AS44">
        <v>6.05</v>
      </c>
    </row>
    <row r="45" spans="1:45" x14ac:dyDescent="0.25">
      <c r="A45" s="55" t="s">
        <v>156</v>
      </c>
      <c r="B45">
        <v>5</v>
      </c>
      <c r="D45">
        <v>5</v>
      </c>
      <c r="G45" s="64"/>
      <c r="H45" s="56"/>
      <c r="T45">
        <v>5</v>
      </c>
      <c r="AO45">
        <v>5.3</v>
      </c>
      <c r="AP45">
        <v>5</v>
      </c>
      <c r="AS45">
        <v>5</v>
      </c>
    </row>
    <row r="46" spans="1:45" x14ac:dyDescent="0.25">
      <c r="A46">
        <v>6</v>
      </c>
      <c r="B46">
        <v>5.5</v>
      </c>
      <c r="D46">
        <v>5.5</v>
      </c>
      <c r="G46" s="64"/>
      <c r="H46" s="65"/>
      <c r="T46">
        <v>5.5</v>
      </c>
      <c r="AS46">
        <v>5.5</v>
      </c>
    </row>
    <row r="48" spans="1:45" x14ac:dyDescent="0.25">
      <c r="A48" s="1" t="s">
        <v>147</v>
      </c>
    </row>
    <row r="49" spans="1:45" x14ac:dyDescent="0.25">
      <c r="A49" s="13" t="s">
        <v>175</v>
      </c>
      <c r="B49">
        <v>-3.6</v>
      </c>
      <c r="C49">
        <v>-3.8</v>
      </c>
      <c r="D49">
        <v>-1.7767999999999999</v>
      </c>
      <c r="Q49">
        <v>-2.0230000000000001</v>
      </c>
      <c r="T49">
        <v>-2.0169999999999999</v>
      </c>
      <c r="AS49">
        <v>-1.9450000000000001</v>
      </c>
    </row>
    <row r="50" spans="1:45" x14ac:dyDescent="0.25">
      <c r="A50" s="13" t="s">
        <v>176</v>
      </c>
      <c r="B50">
        <v>0.4</v>
      </c>
      <c r="C50">
        <v>0.4</v>
      </c>
      <c r="D50">
        <v>-0.51900000000000002</v>
      </c>
      <c r="T50">
        <v>-0.63700000000000001</v>
      </c>
      <c r="AG50">
        <v>-0.48599999999999999</v>
      </c>
      <c r="AS50">
        <v>-0.67300000000000004</v>
      </c>
    </row>
    <row r="51" spans="1:45" x14ac:dyDescent="0.25">
      <c r="A51" s="13" t="s">
        <v>179</v>
      </c>
      <c r="B51">
        <v>-20</v>
      </c>
      <c r="C51">
        <v>-20</v>
      </c>
      <c r="D51">
        <v>0</v>
      </c>
      <c r="T51">
        <v>0</v>
      </c>
      <c r="AS51">
        <v>0</v>
      </c>
    </row>
    <row r="54" spans="1:45" x14ac:dyDescent="0.25">
      <c r="A54" s="1" t="s">
        <v>227</v>
      </c>
    </row>
    <row r="55" spans="1:45" x14ac:dyDescent="0.25">
      <c r="A55" s="59" t="s">
        <v>13</v>
      </c>
      <c r="D55">
        <v>0</v>
      </c>
      <c r="Q55">
        <v>0</v>
      </c>
      <c r="S55">
        <v>0</v>
      </c>
    </row>
    <row r="56" spans="1:45" x14ac:dyDescent="0.25">
      <c r="A56" s="71" t="s">
        <v>14</v>
      </c>
      <c r="D56">
        <v>-1.5</v>
      </c>
      <c r="Q56">
        <v>-1.5</v>
      </c>
      <c r="S56">
        <v>-1.65</v>
      </c>
    </row>
    <row r="57" spans="1:45" x14ac:dyDescent="0.25">
      <c r="A57" s="59" t="s">
        <v>15</v>
      </c>
      <c r="D57">
        <v>0</v>
      </c>
      <c r="Q57">
        <v>0</v>
      </c>
      <c r="S57">
        <v>0</v>
      </c>
    </row>
    <row r="58" spans="1:45" x14ac:dyDescent="0.25">
      <c r="A58" s="59" t="s">
        <v>16</v>
      </c>
      <c r="D58">
        <v>-1.038095238095238</v>
      </c>
      <c r="Q58">
        <v>-1.0857142857142854</v>
      </c>
      <c r="S58">
        <v>-0.371428571428571</v>
      </c>
    </row>
    <row r="59" spans="1:45" x14ac:dyDescent="0.25">
      <c r="A59" s="59" t="s">
        <v>17</v>
      </c>
      <c r="D59">
        <v>0</v>
      </c>
      <c r="Q59">
        <v>0</v>
      </c>
      <c r="S59">
        <v>0</v>
      </c>
    </row>
    <row r="60" spans="1:45" x14ac:dyDescent="0.25">
      <c r="A60" s="59" t="s">
        <v>18</v>
      </c>
      <c r="D60">
        <v>10.256410256410252</v>
      </c>
      <c r="Q60">
        <v>10.256410256410252</v>
      </c>
      <c r="S60">
        <v>8.3333333333333321</v>
      </c>
    </row>
    <row r="62" spans="1:45" x14ac:dyDescent="0.25">
      <c r="A62" s="1" t="s">
        <v>226</v>
      </c>
    </row>
    <row r="63" spans="1:45" x14ac:dyDescent="0.25">
      <c r="A63" s="13" t="s">
        <v>13</v>
      </c>
      <c r="D63">
        <v>0</v>
      </c>
      <c r="N63">
        <v>0</v>
      </c>
      <c r="P63">
        <v>0</v>
      </c>
      <c r="R63">
        <v>0</v>
      </c>
      <c r="S63">
        <v>0</v>
      </c>
    </row>
    <row r="64" spans="1:45" x14ac:dyDescent="0.25">
      <c r="A64" s="13" t="s">
        <v>14</v>
      </c>
      <c r="D64">
        <v>0</v>
      </c>
      <c r="F64" s="11"/>
      <c r="N64">
        <v>0</v>
      </c>
      <c r="P64">
        <v>0</v>
      </c>
      <c r="R64">
        <v>0</v>
      </c>
      <c r="S64">
        <v>0</v>
      </c>
    </row>
    <row r="65" spans="1:28" x14ac:dyDescent="0.25">
      <c r="A65" s="13" t="s">
        <v>15</v>
      </c>
      <c r="D65">
        <v>0</v>
      </c>
      <c r="N65">
        <v>0</v>
      </c>
      <c r="P65">
        <v>0</v>
      </c>
      <c r="R65">
        <v>0</v>
      </c>
      <c r="S65">
        <v>0</v>
      </c>
    </row>
    <row r="66" spans="1:28" x14ac:dyDescent="0.25">
      <c r="A66" s="13" t="s">
        <v>16</v>
      </c>
      <c r="D66">
        <v>0.16666666666666735</v>
      </c>
      <c r="N66">
        <v>7.1428571428569912E-2</v>
      </c>
      <c r="P66">
        <v>0.21428571428571394</v>
      </c>
      <c r="R66">
        <v>0.21428571428571394</v>
      </c>
      <c r="S66">
        <v>0.21428571428571394</v>
      </c>
    </row>
    <row r="67" spans="1:28" x14ac:dyDescent="0.25">
      <c r="A67" s="13" t="s">
        <v>17</v>
      </c>
      <c r="D67">
        <v>0</v>
      </c>
      <c r="N67">
        <v>0</v>
      </c>
      <c r="P67">
        <v>0</v>
      </c>
      <c r="R67">
        <v>0</v>
      </c>
      <c r="S67">
        <v>0</v>
      </c>
    </row>
    <row r="68" spans="1:28" x14ac:dyDescent="0.25">
      <c r="A68" s="13" t="s">
        <v>18</v>
      </c>
      <c r="D68">
        <v>25.512820512820518</v>
      </c>
      <c r="N68">
        <v>25.512820512820518</v>
      </c>
      <c r="P68">
        <v>25.512820512820518</v>
      </c>
      <c r="R68">
        <v>23.397435897435901</v>
      </c>
      <c r="S68">
        <v>27.564102564102566</v>
      </c>
    </row>
    <row r="70" spans="1:28" x14ac:dyDescent="0.25">
      <c r="A70" s="16" t="s">
        <v>225</v>
      </c>
    </row>
    <row r="71" spans="1:28" x14ac:dyDescent="0.25">
      <c r="A71" s="13" t="s">
        <v>228</v>
      </c>
      <c r="D71">
        <f>(D14-$D$14)*570/550000*4.85/1000</f>
        <v>0</v>
      </c>
      <c r="E71">
        <f t="shared" ref="E71:AB71" si="30">(E14-$D$14)*570/550000*4.85/1000</f>
        <v>0</v>
      </c>
      <c r="F71">
        <f t="shared" si="30"/>
        <v>0</v>
      </c>
      <c r="G71">
        <f t="shared" si="30"/>
        <v>0</v>
      </c>
      <c r="H71">
        <f t="shared" si="30"/>
        <v>0</v>
      </c>
      <c r="I71">
        <f t="shared" si="30"/>
        <v>0</v>
      </c>
      <c r="J71">
        <f t="shared" si="30"/>
        <v>0</v>
      </c>
      <c r="K71">
        <f t="shared" si="30"/>
        <v>0</v>
      </c>
      <c r="L71">
        <f t="shared" si="30"/>
        <v>0</v>
      </c>
      <c r="M71">
        <f t="shared" si="30"/>
        <v>0</v>
      </c>
      <c r="N71">
        <f t="shared" si="30"/>
        <v>0</v>
      </c>
      <c r="O71">
        <f t="shared" si="30"/>
        <v>0</v>
      </c>
      <c r="P71">
        <f t="shared" si="30"/>
        <v>0</v>
      </c>
      <c r="Q71">
        <f t="shared" si="30"/>
        <v>0</v>
      </c>
      <c r="R71">
        <f t="shared" si="30"/>
        <v>0</v>
      </c>
      <c r="S71">
        <f t="shared" si="30"/>
        <v>0</v>
      </c>
      <c r="T71">
        <f t="shared" si="30"/>
        <v>8.0421818181818178E-2</v>
      </c>
      <c r="U71">
        <f t="shared" si="30"/>
        <v>-1.5255013636363637</v>
      </c>
      <c r="V71">
        <f t="shared" si="30"/>
        <v>-1.5255013636363637</v>
      </c>
      <c r="W71">
        <f t="shared" si="30"/>
        <v>-1.5255013636363637</v>
      </c>
      <c r="X71">
        <f t="shared" si="30"/>
        <v>0.18094909090909089</v>
      </c>
      <c r="Y71">
        <f t="shared" si="30"/>
        <v>0.23121272727272724</v>
      </c>
      <c r="Z71">
        <f t="shared" si="30"/>
        <v>3.0158181818181813E-2</v>
      </c>
      <c r="AA71">
        <f t="shared" si="30"/>
        <v>0.13068545454545455</v>
      </c>
      <c r="AB71">
        <f t="shared" si="30"/>
        <v>0.18094909090909089</v>
      </c>
    </row>
    <row r="72" spans="1:28" x14ac:dyDescent="0.25">
      <c r="A72" s="13" t="s">
        <v>229</v>
      </c>
      <c r="D72">
        <f>($D$15-D15)*2066/550000*4.85/1000</f>
        <v>0</v>
      </c>
      <c r="E72">
        <f t="shared" ref="E72:AB72" si="31">($D$15-E15)*2066/550000*4.85/1000</f>
        <v>0</v>
      </c>
      <c r="F72">
        <f t="shared" si="31"/>
        <v>0</v>
      </c>
      <c r="G72">
        <f t="shared" si="31"/>
        <v>0</v>
      </c>
      <c r="H72">
        <f t="shared" si="31"/>
        <v>0</v>
      </c>
      <c r="I72">
        <f t="shared" si="31"/>
        <v>0.91091818181818174</v>
      </c>
      <c r="J72">
        <f t="shared" si="31"/>
        <v>2.0040199999999997</v>
      </c>
      <c r="K72">
        <f t="shared" si="31"/>
        <v>2.0040199999999997</v>
      </c>
      <c r="L72">
        <f t="shared" si="31"/>
        <v>0</v>
      </c>
      <c r="M72">
        <f t="shared" si="31"/>
        <v>0</v>
      </c>
      <c r="N72">
        <f t="shared" si="31"/>
        <v>0</v>
      </c>
      <c r="O72">
        <f t="shared" si="31"/>
        <v>0</v>
      </c>
      <c r="P72">
        <f t="shared" si="31"/>
        <v>0</v>
      </c>
      <c r="Q72">
        <f t="shared" si="31"/>
        <v>0</v>
      </c>
      <c r="R72">
        <f t="shared" si="31"/>
        <v>0</v>
      </c>
      <c r="S72">
        <f t="shared" si="31"/>
        <v>0</v>
      </c>
      <c r="T72">
        <f t="shared" si="31"/>
        <v>0.7287345454545453</v>
      </c>
      <c r="U72">
        <f t="shared" si="31"/>
        <v>6.5586109090909082</v>
      </c>
      <c r="V72">
        <f t="shared" si="31"/>
        <v>6.5586109090909082</v>
      </c>
      <c r="W72">
        <f t="shared" si="31"/>
        <v>6.5586109090909082</v>
      </c>
      <c r="X72">
        <f t="shared" si="31"/>
        <v>6.5586109090909082</v>
      </c>
      <c r="Y72">
        <f t="shared" si="31"/>
        <v>6.5586109090909082</v>
      </c>
      <c r="Z72">
        <f t="shared" si="31"/>
        <v>6.5586109090909082</v>
      </c>
      <c r="AA72">
        <f t="shared" si="31"/>
        <v>6.5586109090909082</v>
      </c>
      <c r="AB72">
        <f t="shared" si="31"/>
        <v>6.5586109090909082</v>
      </c>
    </row>
    <row r="86" spans="1:1" x14ac:dyDescent="0.25">
      <c r="A86" s="67" t="s">
        <v>174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workbookViewId="0">
      <selection activeCell="L50" sqref="L50"/>
    </sheetView>
  </sheetViews>
  <sheetFormatPr baseColWidth="10" defaultRowHeight="15" x14ac:dyDescent="0.25"/>
  <cols>
    <col min="1" max="1" width="6.85546875" style="14" customWidth="1"/>
    <col min="2" max="2" width="28.140625" style="14" customWidth="1"/>
    <col min="3" max="3" width="35.140625" style="14" customWidth="1"/>
    <col min="4" max="4" width="28.85546875" customWidth="1"/>
    <col min="5" max="5" width="11.140625" customWidth="1"/>
    <col min="6" max="6" width="10" customWidth="1"/>
    <col min="7" max="7" width="28.7109375" customWidth="1"/>
    <col min="8" max="8" width="21.85546875" style="13" customWidth="1"/>
    <col min="9" max="9" width="18.7109375" customWidth="1"/>
  </cols>
  <sheetData>
    <row r="1" spans="1:10" s="52" customFormat="1" ht="21" x14ac:dyDescent="0.35">
      <c r="A1" s="50" t="s">
        <v>141</v>
      </c>
      <c r="B1" s="51"/>
      <c r="C1" s="51"/>
      <c r="H1" s="53"/>
    </row>
    <row r="2" spans="1:10" s="52" customFormat="1" ht="21" x14ac:dyDescent="0.35">
      <c r="A2" s="54" t="s">
        <v>140</v>
      </c>
      <c r="B2" s="51"/>
      <c r="C2" s="51"/>
      <c r="H2" s="53"/>
    </row>
    <row r="3" spans="1:10" ht="18.75" x14ac:dyDescent="0.3">
      <c r="A3" s="33"/>
    </row>
    <row r="4" spans="1:10" ht="18.75" x14ac:dyDescent="0.3">
      <c r="A4" s="32" t="s">
        <v>123</v>
      </c>
      <c r="B4" s="17"/>
      <c r="C4" s="9"/>
      <c r="D4" s="3"/>
      <c r="E4" s="3"/>
      <c r="F4" s="3"/>
      <c r="G4" s="3"/>
      <c r="H4" s="46"/>
    </row>
    <row r="5" spans="1:10" x14ac:dyDescent="0.25">
      <c r="A5" s="18"/>
      <c r="B5" s="18"/>
      <c r="C5" s="9"/>
      <c r="D5" s="3"/>
      <c r="E5" s="3"/>
      <c r="F5" s="3"/>
      <c r="G5" s="3"/>
      <c r="H5" s="46"/>
    </row>
    <row r="6" spans="1:10" x14ac:dyDescent="0.25">
      <c r="A6" s="18" t="s">
        <v>91</v>
      </c>
      <c r="B6" s="18"/>
      <c r="C6" s="9"/>
      <c r="D6" s="3"/>
      <c r="E6" s="3"/>
      <c r="F6" s="3"/>
      <c r="G6" s="3"/>
      <c r="H6" s="46"/>
    </row>
    <row r="7" spans="1:10" x14ac:dyDescent="0.25">
      <c r="A7" s="40" t="s">
        <v>99</v>
      </c>
      <c r="B7" s="18"/>
      <c r="C7" s="9"/>
      <c r="D7" s="3"/>
      <c r="E7" s="3"/>
      <c r="F7" s="3"/>
      <c r="G7" s="3"/>
      <c r="H7" s="46"/>
    </row>
    <row r="8" spans="1:10" x14ac:dyDescent="0.25">
      <c r="A8" s="19"/>
      <c r="B8" s="9"/>
      <c r="C8" s="9"/>
      <c r="D8" s="3"/>
      <c r="E8" s="3"/>
      <c r="F8" s="3"/>
      <c r="G8" s="3"/>
      <c r="H8" s="46"/>
      <c r="I8" s="4" t="s">
        <v>134</v>
      </c>
      <c r="J8" s="3"/>
    </row>
    <row r="9" spans="1:10" x14ac:dyDescent="0.25">
      <c r="A9" s="9"/>
      <c r="B9" s="9"/>
      <c r="C9" s="7" t="s">
        <v>27</v>
      </c>
      <c r="D9" s="7"/>
      <c r="E9" s="3"/>
      <c r="F9" s="7" t="s">
        <v>27</v>
      </c>
      <c r="G9" s="45" t="s">
        <v>108</v>
      </c>
      <c r="H9" s="46"/>
      <c r="I9" s="4" t="s">
        <v>136</v>
      </c>
      <c r="J9" s="4" t="s">
        <v>138</v>
      </c>
    </row>
    <row r="10" spans="1:10" x14ac:dyDescent="0.25">
      <c r="A10" s="7" t="s">
        <v>85</v>
      </c>
      <c r="B10" s="4" t="s">
        <v>127</v>
      </c>
      <c r="C10" s="4" t="s">
        <v>104</v>
      </c>
      <c r="D10" s="4" t="s">
        <v>125</v>
      </c>
      <c r="E10" s="7" t="s">
        <v>124</v>
      </c>
      <c r="F10" s="7" t="s">
        <v>80</v>
      </c>
      <c r="G10" s="4" t="s">
        <v>126</v>
      </c>
      <c r="I10" s="3"/>
      <c r="J10" s="3"/>
    </row>
    <row r="11" spans="1:10" x14ac:dyDescent="0.25">
      <c r="A11" s="9">
        <v>1</v>
      </c>
      <c r="B11" s="3" t="s">
        <v>28</v>
      </c>
      <c r="C11" s="37" t="s">
        <v>81</v>
      </c>
      <c r="D11" s="3" t="s">
        <v>98</v>
      </c>
      <c r="E11" s="9" t="s">
        <v>84</v>
      </c>
      <c r="F11" s="9"/>
      <c r="G11" s="3" t="s">
        <v>109</v>
      </c>
      <c r="I11" s="3">
        <v>318</v>
      </c>
      <c r="J11" s="48" t="s">
        <v>135</v>
      </c>
    </row>
    <row r="12" spans="1:10" x14ac:dyDescent="0.25">
      <c r="A12" s="9">
        <f>A11+1</f>
        <v>2</v>
      </c>
      <c r="B12" s="3" t="s">
        <v>28</v>
      </c>
      <c r="C12" s="43" t="s">
        <v>42</v>
      </c>
      <c r="D12" s="3" t="s">
        <v>40</v>
      </c>
      <c r="E12" s="9"/>
      <c r="F12" s="9"/>
      <c r="G12" s="3"/>
      <c r="I12" s="3"/>
      <c r="J12" s="48"/>
    </row>
    <row r="13" spans="1:10" x14ac:dyDescent="0.25">
      <c r="A13" s="9">
        <f t="shared" ref="A13:A47" si="0">A12+1</f>
        <v>3</v>
      </c>
      <c r="B13" s="3" t="s">
        <v>28</v>
      </c>
      <c r="C13" s="43" t="s">
        <v>43</v>
      </c>
      <c r="D13" s="3" t="s">
        <v>40</v>
      </c>
      <c r="E13" s="9"/>
      <c r="F13" s="9"/>
      <c r="G13" s="3"/>
      <c r="I13" s="3"/>
      <c r="J13" s="48"/>
    </row>
    <row r="14" spans="1:10" x14ac:dyDescent="0.25">
      <c r="A14" s="9">
        <f t="shared" si="0"/>
        <v>4</v>
      </c>
      <c r="B14" s="3" t="s">
        <v>28</v>
      </c>
      <c r="C14" s="43" t="s">
        <v>44</v>
      </c>
      <c r="D14" s="3" t="s">
        <v>36</v>
      </c>
      <c r="E14" s="9"/>
      <c r="F14" s="9"/>
      <c r="G14" s="3"/>
      <c r="I14" s="3"/>
      <c r="J14" s="48"/>
    </row>
    <row r="15" spans="1:10" x14ac:dyDescent="0.25">
      <c r="A15" s="9">
        <f t="shared" si="0"/>
        <v>5</v>
      </c>
      <c r="B15" s="3" t="s">
        <v>28</v>
      </c>
      <c r="C15" s="43" t="s">
        <v>45</v>
      </c>
      <c r="D15" s="3" t="s">
        <v>36</v>
      </c>
      <c r="E15" s="9"/>
      <c r="F15" s="9"/>
      <c r="G15" s="3"/>
      <c r="I15" s="3"/>
      <c r="J15" s="48"/>
    </row>
    <row r="16" spans="1:10" x14ac:dyDescent="0.25">
      <c r="A16" s="9">
        <f t="shared" si="0"/>
        <v>6</v>
      </c>
      <c r="B16" s="3" t="s">
        <v>86</v>
      </c>
      <c r="C16" s="37" t="s">
        <v>46</v>
      </c>
      <c r="D16" s="3" t="s">
        <v>107</v>
      </c>
      <c r="E16" s="9" t="s">
        <v>84</v>
      </c>
      <c r="F16" s="9" t="s">
        <v>79</v>
      </c>
      <c r="G16" s="3" t="s">
        <v>142</v>
      </c>
      <c r="I16" s="3">
        <v>2</v>
      </c>
      <c r="J16" s="48" t="s">
        <v>11</v>
      </c>
    </row>
    <row r="17" spans="1:10" x14ac:dyDescent="0.25">
      <c r="A17" s="9">
        <f t="shared" si="0"/>
        <v>7</v>
      </c>
      <c r="B17" s="3" t="s">
        <v>86</v>
      </c>
      <c r="C17" s="37" t="s">
        <v>47</v>
      </c>
      <c r="D17" s="3" t="s">
        <v>107</v>
      </c>
      <c r="E17" s="9" t="s">
        <v>84</v>
      </c>
      <c r="F17" s="9" t="s">
        <v>79</v>
      </c>
      <c r="G17" s="3" t="s">
        <v>41</v>
      </c>
      <c r="I17" s="3">
        <v>2</v>
      </c>
      <c r="J17" s="48" t="s">
        <v>11</v>
      </c>
    </row>
    <row r="18" spans="1:10" x14ac:dyDescent="0.25">
      <c r="A18" s="9">
        <f t="shared" si="0"/>
        <v>8</v>
      </c>
      <c r="B18" s="3" t="s">
        <v>86</v>
      </c>
      <c r="C18" s="37" t="s">
        <v>95</v>
      </c>
      <c r="D18" s="3" t="s">
        <v>40</v>
      </c>
      <c r="E18" s="9" t="s">
        <v>84</v>
      </c>
      <c r="F18" s="9" t="s">
        <v>79</v>
      </c>
      <c r="G18" s="3" t="s">
        <v>97</v>
      </c>
      <c r="I18" s="3"/>
      <c r="J18" s="48"/>
    </row>
    <row r="19" spans="1:10" x14ac:dyDescent="0.25">
      <c r="A19" s="9">
        <f t="shared" si="0"/>
        <v>9</v>
      </c>
      <c r="B19" s="3" t="s">
        <v>86</v>
      </c>
      <c r="C19" s="37" t="s">
        <v>96</v>
      </c>
      <c r="D19" s="3" t="s">
        <v>40</v>
      </c>
      <c r="E19" s="9" t="s">
        <v>84</v>
      </c>
      <c r="F19" s="9" t="s">
        <v>79</v>
      </c>
      <c r="G19" s="3" t="s">
        <v>97</v>
      </c>
      <c r="I19" s="3">
        <v>-1</v>
      </c>
      <c r="J19" s="48" t="s">
        <v>11</v>
      </c>
    </row>
    <row r="20" spans="1:10" x14ac:dyDescent="0.25">
      <c r="A20" s="9">
        <f t="shared" si="0"/>
        <v>10</v>
      </c>
      <c r="B20" s="3" t="s">
        <v>83</v>
      </c>
      <c r="C20" s="37" t="s">
        <v>71</v>
      </c>
      <c r="D20" s="3" t="s">
        <v>93</v>
      </c>
      <c r="E20" s="9"/>
      <c r="F20" s="9"/>
      <c r="G20" s="3"/>
      <c r="I20" s="3"/>
      <c r="J20" s="48"/>
    </row>
    <row r="21" spans="1:10" x14ac:dyDescent="0.25">
      <c r="A21" s="9">
        <f t="shared" si="0"/>
        <v>11</v>
      </c>
      <c r="B21" s="3" t="s">
        <v>83</v>
      </c>
      <c r="C21" s="44" t="s">
        <v>48</v>
      </c>
      <c r="D21" s="3" t="s">
        <v>37</v>
      </c>
      <c r="E21" s="9" t="s">
        <v>84</v>
      </c>
      <c r="F21" s="9"/>
      <c r="G21" s="3"/>
      <c r="I21" s="3"/>
      <c r="J21" s="48"/>
    </row>
    <row r="22" spans="1:10" x14ac:dyDescent="0.25">
      <c r="A22" s="9">
        <f t="shared" si="0"/>
        <v>12</v>
      </c>
      <c r="B22" s="3" t="s">
        <v>83</v>
      </c>
      <c r="C22" s="42" t="s">
        <v>49</v>
      </c>
      <c r="D22" s="3" t="s">
        <v>29</v>
      </c>
      <c r="E22" s="9" t="s">
        <v>84</v>
      </c>
      <c r="F22" s="9" t="s">
        <v>79</v>
      </c>
      <c r="G22" s="41" t="s">
        <v>119</v>
      </c>
      <c r="I22" s="3">
        <v>-2</v>
      </c>
      <c r="J22" s="49" t="s">
        <v>137</v>
      </c>
    </row>
    <row r="23" spans="1:10" x14ac:dyDescent="0.25">
      <c r="A23" s="9">
        <f t="shared" si="0"/>
        <v>13</v>
      </c>
      <c r="B23" s="3" t="s">
        <v>83</v>
      </c>
      <c r="C23" s="43" t="s">
        <v>50</v>
      </c>
      <c r="D23" s="3" t="s">
        <v>29</v>
      </c>
      <c r="E23" s="9"/>
      <c r="F23" s="9"/>
      <c r="G23" s="3"/>
      <c r="I23" s="3"/>
      <c r="J23" s="48"/>
    </row>
    <row r="24" spans="1:10" x14ac:dyDescent="0.25">
      <c r="A24" s="9">
        <f t="shared" si="0"/>
        <v>14</v>
      </c>
      <c r="B24" s="3" t="s">
        <v>83</v>
      </c>
      <c r="C24" s="37" t="s">
        <v>51</v>
      </c>
      <c r="D24" s="3" t="s">
        <v>36</v>
      </c>
      <c r="E24" s="9"/>
      <c r="F24" s="9"/>
      <c r="G24" s="3"/>
      <c r="I24" s="3"/>
      <c r="J24" s="48"/>
    </row>
    <row r="25" spans="1:10" x14ac:dyDescent="0.25">
      <c r="A25" s="9">
        <f t="shared" si="0"/>
        <v>15</v>
      </c>
      <c r="B25" s="3" t="s">
        <v>83</v>
      </c>
      <c r="C25" s="43" t="s">
        <v>52</v>
      </c>
      <c r="D25" s="3" t="s">
        <v>35</v>
      </c>
      <c r="E25" s="9"/>
      <c r="F25" s="9"/>
      <c r="G25" s="3"/>
      <c r="I25" s="3"/>
      <c r="J25" s="48"/>
    </row>
    <row r="26" spans="1:10" x14ac:dyDescent="0.25">
      <c r="A26" s="9">
        <f t="shared" si="0"/>
        <v>16</v>
      </c>
      <c r="B26" s="3" t="s">
        <v>30</v>
      </c>
      <c r="C26" s="37" t="s">
        <v>53</v>
      </c>
      <c r="D26" s="3" t="s">
        <v>110</v>
      </c>
      <c r="E26" s="9"/>
      <c r="F26" s="9"/>
      <c r="G26" s="3"/>
      <c r="I26" s="3"/>
      <c r="J26" s="48"/>
    </row>
    <row r="27" spans="1:10" x14ac:dyDescent="0.25">
      <c r="A27" s="9">
        <f t="shared" si="0"/>
        <v>17</v>
      </c>
      <c r="B27" s="3" t="s">
        <v>30</v>
      </c>
      <c r="C27" s="37" t="s">
        <v>54</v>
      </c>
      <c r="D27" s="3" t="s">
        <v>92</v>
      </c>
      <c r="E27" s="9"/>
      <c r="F27" s="9"/>
      <c r="G27" s="3"/>
      <c r="I27" s="3"/>
      <c r="J27" s="48"/>
    </row>
    <row r="28" spans="1:10" x14ac:dyDescent="0.25">
      <c r="A28" s="9">
        <f t="shared" si="0"/>
        <v>18</v>
      </c>
      <c r="B28" s="3" t="s">
        <v>30</v>
      </c>
      <c r="C28" s="37" t="s">
        <v>55</v>
      </c>
      <c r="D28" s="3" t="s">
        <v>33</v>
      </c>
      <c r="E28" s="9"/>
      <c r="F28" s="9"/>
      <c r="G28" s="3"/>
      <c r="I28" s="3"/>
      <c r="J28" s="48"/>
    </row>
    <row r="29" spans="1:10" x14ac:dyDescent="0.25">
      <c r="A29" s="9">
        <f t="shared" si="0"/>
        <v>19</v>
      </c>
      <c r="B29" s="3" t="s">
        <v>30</v>
      </c>
      <c r="C29" s="37" t="s">
        <v>56</v>
      </c>
      <c r="D29" s="3" t="s">
        <v>34</v>
      </c>
      <c r="E29" s="9"/>
      <c r="F29" s="9"/>
      <c r="G29" s="3"/>
      <c r="I29" s="3"/>
      <c r="J29" s="48"/>
    </row>
    <row r="30" spans="1:10" x14ac:dyDescent="0.25">
      <c r="A30" s="9">
        <f t="shared" si="0"/>
        <v>20</v>
      </c>
      <c r="B30" s="3" t="s">
        <v>39</v>
      </c>
      <c r="C30" s="37" t="s">
        <v>57</v>
      </c>
      <c r="D30" s="3" t="s">
        <v>112</v>
      </c>
      <c r="E30" s="9"/>
      <c r="F30" s="9" t="s">
        <v>79</v>
      </c>
      <c r="G30" s="3" t="s">
        <v>111</v>
      </c>
      <c r="I30" s="3">
        <v>0.1</v>
      </c>
      <c r="J30" s="48" t="s">
        <v>11</v>
      </c>
    </row>
    <row r="31" spans="1:10" x14ac:dyDescent="0.25">
      <c r="A31" s="9">
        <f t="shared" si="0"/>
        <v>21</v>
      </c>
      <c r="B31" s="3" t="s">
        <v>39</v>
      </c>
      <c r="C31" s="37" t="s">
        <v>90</v>
      </c>
      <c r="D31" s="3" t="s">
        <v>94</v>
      </c>
      <c r="E31" s="9"/>
      <c r="F31" s="9"/>
      <c r="G31" s="3"/>
      <c r="I31" s="3"/>
      <c r="J31" s="48"/>
    </row>
    <row r="32" spans="1:10" x14ac:dyDescent="0.25">
      <c r="A32" s="9">
        <f t="shared" si="0"/>
        <v>22</v>
      </c>
      <c r="B32" s="3" t="s">
        <v>39</v>
      </c>
      <c r="C32" s="38" t="s">
        <v>58</v>
      </c>
      <c r="D32" s="3" t="s">
        <v>69</v>
      </c>
      <c r="E32" s="9"/>
      <c r="F32" s="9" t="s">
        <v>79</v>
      </c>
      <c r="G32" s="3" t="s">
        <v>116</v>
      </c>
      <c r="I32" s="3">
        <v>3</v>
      </c>
      <c r="J32" s="49" t="s">
        <v>137</v>
      </c>
    </row>
    <row r="33" spans="1:10" x14ac:dyDescent="0.25">
      <c r="A33" s="9">
        <f t="shared" si="0"/>
        <v>23</v>
      </c>
      <c r="B33" s="3" t="s">
        <v>59</v>
      </c>
      <c r="C33" s="37" t="s">
        <v>74</v>
      </c>
      <c r="D33" s="3" t="s">
        <v>77</v>
      </c>
      <c r="E33" s="9"/>
      <c r="F33" s="9"/>
      <c r="G33" s="3"/>
      <c r="I33" s="3"/>
      <c r="J33" s="48"/>
    </row>
    <row r="34" spans="1:10" x14ac:dyDescent="0.25">
      <c r="A34" s="9">
        <f t="shared" si="0"/>
        <v>24</v>
      </c>
      <c r="B34" s="3" t="s">
        <v>59</v>
      </c>
      <c r="C34" s="37" t="s">
        <v>75</v>
      </c>
      <c r="D34" s="3" t="s">
        <v>78</v>
      </c>
      <c r="E34" s="9"/>
      <c r="F34" s="9"/>
      <c r="G34" s="3"/>
      <c r="I34" s="3"/>
      <c r="J34" s="48"/>
    </row>
    <row r="35" spans="1:10" x14ac:dyDescent="0.25">
      <c r="A35" s="9">
        <f t="shared" si="0"/>
        <v>25</v>
      </c>
      <c r="B35" s="3" t="s">
        <v>59</v>
      </c>
      <c r="C35" s="42" t="s">
        <v>68</v>
      </c>
      <c r="D35" s="3" t="s">
        <v>31</v>
      </c>
      <c r="E35" s="9" t="s">
        <v>84</v>
      </c>
      <c r="F35" s="9" t="s">
        <v>79</v>
      </c>
      <c r="G35" s="3" t="s">
        <v>117</v>
      </c>
      <c r="I35" s="3"/>
      <c r="J35" s="48"/>
    </row>
    <row r="36" spans="1:10" x14ac:dyDescent="0.25">
      <c r="A36" s="9">
        <f t="shared" si="0"/>
        <v>26</v>
      </c>
      <c r="B36" s="3" t="s">
        <v>59</v>
      </c>
      <c r="C36" s="42" t="s">
        <v>120</v>
      </c>
      <c r="D36" s="3" t="s">
        <v>122</v>
      </c>
      <c r="E36" s="9" t="s">
        <v>84</v>
      </c>
      <c r="F36" s="9" t="s">
        <v>79</v>
      </c>
      <c r="G36" s="3" t="s">
        <v>139</v>
      </c>
      <c r="I36" s="3">
        <v>10</v>
      </c>
      <c r="J36" s="48" t="s">
        <v>137</v>
      </c>
    </row>
    <row r="37" spans="1:10" x14ac:dyDescent="0.25">
      <c r="A37" s="9">
        <f t="shared" si="0"/>
        <v>27</v>
      </c>
      <c r="B37" s="3" t="s">
        <v>59</v>
      </c>
      <c r="C37" s="42" t="s">
        <v>61</v>
      </c>
      <c r="D37" s="3" t="s">
        <v>32</v>
      </c>
      <c r="E37" s="9"/>
      <c r="F37" s="9" t="s">
        <v>79</v>
      </c>
      <c r="G37" s="3" t="s">
        <v>118</v>
      </c>
      <c r="I37" s="3">
        <v>-4</v>
      </c>
      <c r="J37" s="48" t="s">
        <v>137</v>
      </c>
    </row>
    <row r="38" spans="1:10" x14ac:dyDescent="0.25">
      <c r="A38" s="9">
        <f t="shared" si="0"/>
        <v>28</v>
      </c>
      <c r="B38" s="3" t="s">
        <v>59</v>
      </c>
      <c r="C38" s="42" t="s">
        <v>62</v>
      </c>
      <c r="D38" s="3" t="s">
        <v>38</v>
      </c>
      <c r="E38" s="9"/>
      <c r="F38" s="9"/>
      <c r="G38" s="3"/>
      <c r="I38" s="3"/>
      <c r="J38" s="48"/>
    </row>
    <row r="39" spans="1:10" x14ac:dyDescent="0.25">
      <c r="A39" s="9">
        <f t="shared" si="0"/>
        <v>29</v>
      </c>
      <c r="B39" s="3" t="s">
        <v>59</v>
      </c>
      <c r="C39" s="42" t="s">
        <v>63</v>
      </c>
      <c r="D39" s="3" t="s">
        <v>38</v>
      </c>
      <c r="E39" s="9"/>
      <c r="F39" s="9"/>
      <c r="G39" s="3"/>
      <c r="I39" s="3"/>
      <c r="J39" s="48"/>
    </row>
    <row r="40" spans="1:10" x14ac:dyDescent="0.25">
      <c r="A40" s="9">
        <f t="shared" si="0"/>
        <v>30</v>
      </c>
      <c r="B40" s="3" t="s">
        <v>60</v>
      </c>
      <c r="C40" s="37" t="s">
        <v>72</v>
      </c>
      <c r="D40" s="3" t="s">
        <v>76</v>
      </c>
      <c r="E40" s="9"/>
      <c r="F40" s="9"/>
      <c r="G40" s="3"/>
      <c r="I40" s="3"/>
      <c r="J40" s="48"/>
    </row>
    <row r="41" spans="1:10" x14ac:dyDescent="0.25">
      <c r="A41" s="9">
        <f t="shared" si="0"/>
        <v>31</v>
      </c>
      <c r="B41" s="3" t="s">
        <v>60</v>
      </c>
      <c r="C41" s="37" t="s">
        <v>73</v>
      </c>
      <c r="D41" s="3" t="s">
        <v>35</v>
      </c>
      <c r="E41" s="9"/>
      <c r="F41" s="9"/>
      <c r="G41" s="3"/>
      <c r="I41" s="3"/>
      <c r="J41" s="48"/>
    </row>
    <row r="42" spans="1:10" x14ac:dyDescent="0.25">
      <c r="A42" s="9">
        <f t="shared" si="0"/>
        <v>32</v>
      </c>
      <c r="B42" s="3" t="s">
        <v>60</v>
      </c>
      <c r="C42" s="42" t="s">
        <v>64</v>
      </c>
      <c r="D42" s="3" t="s">
        <v>31</v>
      </c>
      <c r="E42" s="9" t="s">
        <v>84</v>
      </c>
      <c r="F42" s="9" t="s">
        <v>79</v>
      </c>
      <c r="G42" s="3" t="s">
        <v>117</v>
      </c>
      <c r="I42" s="3">
        <v>-0.02</v>
      </c>
      <c r="J42" s="48" t="s">
        <v>137</v>
      </c>
    </row>
    <row r="43" spans="1:10" x14ac:dyDescent="0.25">
      <c r="A43" s="9">
        <f t="shared" si="0"/>
        <v>33</v>
      </c>
      <c r="B43" s="3" t="s">
        <v>60</v>
      </c>
      <c r="C43" s="42" t="s">
        <v>121</v>
      </c>
      <c r="D43" s="3" t="s">
        <v>122</v>
      </c>
      <c r="E43" s="9" t="s">
        <v>84</v>
      </c>
      <c r="F43" s="9" t="s">
        <v>79</v>
      </c>
      <c r="G43" s="3" t="s">
        <v>139</v>
      </c>
      <c r="I43" s="3">
        <v>-10</v>
      </c>
      <c r="J43" s="48" t="s">
        <v>137</v>
      </c>
    </row>
    <row r="44" spans="1:10" x14ac:dyDescent="0.25">
      <c r="A44" s="9">
        <f t="shared" si="0"/>
        <v>34</v>
      </c>
      <c r="B44" s="3" t="s">
        <v>60</v>
      </c>
      <c r="C44" s="42" t="s">
        <v>65</v>
      </c>
      <c r="D44" s="3" t="s">
        <v>32</v>
      </c>
      <c r="E44" s="9"/>
      <c r="F44" s="9" t="s">
        <v>79</v>
      </c>
      <c r="G44" s="3" t="s">
        <v>118</v>
      </c>
      <c r="I44" s="3">
        <v>5</v>
      </c>
      <c r="J44" s="48" t="s">
        <v>137</v>
      </c>
    </row>
    <row r="45" spans="1:10" x14ac:dyDescent="0.25">
      <c r="A45" s="9">
        <f t="shared" si="0"/>
        <v>35</v>
      </c>
      <c r="B45" s="3" t="s">
        <v>60</v>
      </c>
      <c r="C45" s="42" t="s">
        <v>66</v>
      </c>
      <c r="D45" s="3" t="s">
        <v>38</v>
      </c>
      <c r="E45" s="9"/>
      <c r="F45" s="9"/>
      <c r="G45" s="3"/>
      <c r="I45" s="3"/>
      <c r="J45" s="3"/>
    </row>
    <row r="46" spans="1:10" x14ac:dyDescent="0.25">
      <c r="A46" s="9">
        <f t="shared" si="0"/>
        <v>36</v>
      </c>
      <c r="B46" s="3" t="s">
        <v>60</v>
      </c>
      <c r="C46" s="42" t="s">
        <v>67</v>
      </c>
      <c r="D46" s="3" t="s">
        <v>38</v>
      </c>
      <c r="E46" s="9"/>
      <c r="F46" s="9"/>
      <c r="G46" s="3"/>
      <c r="I46" s="3"/>
      <c r="J46" s="3"/>
    </row>
    <row r="47" spans="1:10" x14ac:dyDescent="0.25">
      <c r="A47" s="9">
        <f t="shared" si="0"/>
        <v>37</v>
      </c>
      <c r="B47" s="3" t="s">
        <v>130</v>
      </c>
      <c r="C47" s="37" t="s">
        <v>70</v>
      </c>
      <c r="D47" s="3" t="s">
        <v>114</v>
      </c>
      <c r="E47" s="9" t="s">
        <v>84</v>
      </c>
      <c r="F47" s="9" t="s">
        <v>79</v>
      </c>
      <c r="G47" s="3" t="s">
        <v>103</v>
      </c>
      <c r="I47" s="3"/>
      <c r="J47" s="3"/>
    </row>
    <row r="48" spans="1:10" x14ac:dyDescent="0.25">
      <c r="A48" s="10"/>
      <c r="B48" s="10"/>
      <c r="C48" s="10"/>
      <c r="D48" s="39"/>
      <c r="E48" s="11"/>
      <c r="F48" s="11"/>
      <c r="G48" s="11"/>
      <c r="H48" s="47"/>
      <c r="I48" s="11"/>
    </row>
    <row r="49" spans="1:1" x14ac:dyDescent="0.25">
      <c r="A49" s="10"/>
    </row>
    <row r="63" spans="1:1" x14ac:dyDescent="0.25">
      <c r="A63" s="36" t="s">
        <v>102</v>
      </c>
    </row>
    <row r="64" spans="1:1" x14ac:dyDescent="0.25">
      <c r="A64" s="16"/>
    </row>
    <row r="65" spans="1:3" x14ac:dyDescent="0.25">
      <c r="B65" s="16" t="s">
        <v>105</v>
      </c>
      <c r="C65" t="s">
        <v>106</v>
      </c>
    </row>
    <row r="66" spans="1:3" x14ac:dyDescent="0.25">
      <c r="B66" s="16" t="s">
        <v>125</v>
      </c>
      <c r="C66" t="s">
        <v>113</v>
      </c>
    </row>
    <row r="67" spans="1:3" x14ac:dyDescent="0.25">
      <c r="B67" s="16" t="s">
        <v>82</v>
      </c>
      <c r="C67" t="s">
        <v>128</v>
      </c>
    </row>
    <row r="68" spans="1:3" x14ac:dyDescent="0.25">
      <c r="B68" s="16" t="s">
        <v>126</v>
      </c>
      <c r="C68" t="s">
        <v>115</v>
      </c>
    </row>
    <row r="71" spans="1:3" x14ac:dyDescent="0.25">
      <c r="A71" s="36" t="s">
        <v>101</v>
      </c>
      <c r="C71" t="s">
        <v>129</v>
      </c>
    </row>
    <row r="72" spans="1:3" x14ac:dyDescent="0.25">
      <c r="C72"/>
    </row>
    <row r="73" spans="1:3" x14ac:dyDescent="0.25">
      <c r="B73" s="35" t="s">
        <v>100</v>
      </c>
      <c r="C73" t="s">
        <v>131</v>
      </c>
    </row>
    <row r="74" spans="1:3" x14ac:dyDescent="0.25">
      <c r="C74"/>
    </row>
    <row r="75" spans="1:3" x14ac:dyDescent="0.25">
      <c r="B75" s="34" t="s">
        <v>100</v>
      </c>
      <c r="C75" t="s">
        <v>132</v>
      </c>
    </row>
    <row r="76" spans="1:3" x14ac:dyDescent="0.25">
      <c r="C76" t="s">
        <v>133</v>
      </c>
    </row>
    <row r="79" spans="1:3" x14ac:dyDescent="0.25">
      <c r="B79" s="15"/>
    </row>
    <row r="80" spans="1:3" x14ac:dyDescent="0.25">
      <c r="B80" s="15"/>
    </row>
    <row r="81" spans="2:2" x14ac:dyDescent="0.25">
      <c r="B81" s="15"/>
    </row>
    <row r="82" spans="2:2" x14ac:dyDescent="0.25">
      <c r="B82" s="15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6"/>
  <sheetViews>
    <sheetView tabSelected="1" zoomScale="40" zoomScaleNormal="40" workbookViewId="0"/>
  </sheetViews>
  <sheetFormatPr baseColWidth="10" defaultRowHeight="15" x14ac:dyDescent="0.25"/>
  <cols>
    <col min="1" max="1" width="30.42578125" customWidth="1"/>
    <col min="2" max="19" width="12.7109375" customWidth="1"/>
  </cols>
  <sheetData>
    <row r="1" spans="1:46" ht="21" x14ac:dyDescent="0.35">
      <c r="A1" s="66" t="s">
        <v>172</v>
      </c>
    </row>
    <row r="2" spans="1:46" x14ac:dyDescent="0.25">
      <c r="A2" s="1" t="s">
        <v>173</v>
      </c>
    </row>
    <row r="3" spans="1:46" x14ac:dyDescent="0.25">
      <c r="A3" s="1"/>
      <c r="B3" s="12"/>
    </row>
    <row r="4" spans="1:46" x14ac:dyDescent="0.25">
      <c r="A4" s="1"/>
      <c r="B4" s="12"/>
    </row>
    <row r="5" spans="1:46" x14ac:dyDescent="0.25">
      <c r="A5" s="1"/>
      <c r="B5" s="12"/>
    </row>
    <row r="6" spans="1:46" s="70" customFormat="1" x14ac:dyDescent="0.25">
      <c r="A6" s="57" t="s">
        <v>158</v>
      </c>
      <c r="B6" s="68"/>
      <c r="D6" s="63">
        <v>44264</v>
      </c>
      <c r="E6" s="1"/>
      <c r="T6" s="72">
        <v>44268</v>
      </c>
      <c r="AF6" s="70" t="s">
        <v>79</v>
      </c>
      <c r="AS6" s="70" t="s">
        <v>223</v>
      </c>
    </row>
    <row r="7" spans="1:46" x14ac:dyDescent="0.25">
      <c r="A7" s="1" t="s">
        <v>157</v>
      </c>
      <c r="B7" s="1"/>
      <c r="C7" s="1"/>
      <c r="D7" s="1" t="s">
        <v>181</v>
      </c>
      <c r="E7" s="1" t="s">
        <v>182</v>
      </c>
      <c r="F7" s="1" t="s">
        <v>183</v>
      </c>
      <c r="G7" s="1" t="s">
        <v>185</v>
      </c>
      <c r="H7" s="1" t="s">
        <v>184</v>
      </c>
      <c r="I7" s="1" t="s">
        <v>186</v>
      </c>
      <c r="J7" s="1" t="s">
        <v>187</v>
      </c>
      <c r="K7" s="1" t="s">
        <v>188</v>
      </c>
      <c r="L7" s="1" t="s">
        <v>189</v>
      </c>
      <c r="M7" s="1" t="s">
        <v>190</v>
      </c>
      <c r="N7" s="1" t="s">
        <v>191</v>
      </c>
      <c r="O7" s="1" t="s">
        <v>192</v>
      </c>
      <c r="P7" s="1" t="s">
        <v>193</v>
      </c>
      <c r="Q7" s="1" t="s">
        <v>194</v>
      </c>
      <c r="R7" s="1" t="s">
        <v>195</v>
      </c>
      <c r="S7" s="1" t="s">
        <v>196</v>
      </c>
      <c r="T7" s="73" t="s">
        <v>197</v>
      </c>
      <c r="U7" s="1" t="s">
        <v>198</v>
      </c>
      <c r="V7" s="1" t="s">
        <v>199</v>
      </c>
      <c r="W7" s="1" t="s">
        <v>200</v>
      </c>
      <c r="X7" s="1" t="s">
        <v>201</v>
      </c>
      <c r="Y7" s="1" t="s">
        <v>202</v>
      </c>
      <c r="Z7" s="1" t="s">
        <v>203</v>
      </c>
      <c r="AA7" s="1" t="s">
        <v>204</v>
      </c>
      <c r="AB7" s="1" t="s">
        <v>205</v>
      </c>
      <c r="AC7" s="1" t="s">
        <v>206</v>
      </c>
      <c r="AD7" s="1" t="s">
        <v>207</v>
      </c>
      <c r="AE7" s="1" t="s">
        <v>208</v>
      </c>
      <c r="AF7" s="1" t="s">
        <v>209</v>
      </c>
      <c r="AG7" s="1" t="s">
        <v>210</v>
      </c>
      <c r="AH7" s="1" t="s">
        <v>211</v>
      </c>
      <c r="AI7" s="1" t="s">
        <v>212</v>
      </c>
      <c r="AJ7" s="1" t="s">
        <v>213</v>
      </c>
      <c r="AK7" s="1" t="s">
        <v>214</v>
      </c>
      <c r="AL7" s="1" t="s">
        <v>215</v>
      </c>
      <c r="AM7" s="1" t="s">
        <v>216</v>
      </c>
      <c r="AN7" s="1" t="s">
        <v>217</v>
      </c>
      <c r="AO7" s="1" t="s">
        <v>218</v>
      </c>
      <c r="AP7" s="1" t="s">
        <v>219</v>
      </c>
      <c r="AQ7" s="1" t="s">
        <v>220</v>
      </c>
      <c r="AR7" s="1" t="s">
        <v>221</v>
      </c>
      <c r="AS7" s="1" t="s">
        <v>222</v>
      </c>
      <c r="AT7" s="1" t="s">
        <v>224</v>
      </c>
    </row>
    <row r="8" spans="1:46" x14ac:dyDescent="0.25">
      <c r="A8" s="1" t="s">
        <v>180</v>
      </c>
      <c r="B8" s="1"/>
      <c r="C8" s="1"/>
      <c r="D8">
        <v>20.37</v>
      </c>
      <c r="E8">
        <v>20.37</v>
      </c>
      <c r="F8">
        <v>20.37</v>
      </c>
      <c r="G8">
        <v>20.37</v>
      </c>
      <c r="H8">
        <v>20.37</v>
      </c>
      <c r="I8">
        <v>20.37</v>
      </c>
      <c r="J8">
        <v>20.37</v>
      </c>
      <c r="K8">
        <v>20.37</v>
      </c>
      <c r="L8">
        <v>20.37</v>
      </c>
      <c r="M8">
        <v>20.37</v>
      </c>
      <c r="N8">
        <v>20.37</v>
      </c>
      <c r="O8">
        <v>20.37</v>
      </c>
      <c r="P8">
        <v>20.37</v>
      </c>
      <c r="Q8">
        <v>20.37</v>
      </c>
      <c r="R8">
        <v>20.37</v>
      </c>
      <c r="S8">
        <v>20.37</v>
      </c>
      <c r="T8">
        <v>20.37</v>
      </c>
      <c r="U8">
        <v>20.37</v>
      </c>
      <c r="V8">
        <v>20.37</v>
      </c>
      <c r="W8">
        <v>20.37</v>
      </c>
      <c r="X8">
        <v>20.37</v>
      </c>
      <c r="Y8">
        <v>20.37</v>
      </c>
      <c r="Z8">
        <v>20.37</v>
      </c>
      <c r="AA8">
        <v>20.37</v>
      </c>
      <c r="AB8">
        <v>20.37</v>
      </c>
      <c r="AC8">
        <v>20.37</v>
      </c>
      <c r="AD8">
        <v>20.37</v>
      </c>
      <c r="AE8">
        <v>20.37</v>
      </c>
      <c r="AF8">
        <v>20.37</v>
      </c>
      <c r="AG8">
        <v>20.37</v>
      </c>
      <c r="AH8">
        <v>20.37</v>
      </c>
      <c r="AI8">
        <v>20.37</v>
      </c>
      <c r="AJ8">
        <v>20.37</v>
      </c>
      <c r="AK8">
        <v>20.37</v>
      </c>
      <c r="AL8">
        <v>20.37</v>
      </c>
      <c r="AM8">
        <v>20.37</v>
      </c>
      <c r="AN8">
        <v>20.37</v>
      </c>
      <c r="AO8">
        <v>20.37</v>
      </c>
      <c r="AP8">
        <v>20.37</v>
      </c>
      <c r="AQ8">
        <v>20.37</v>
      </c>
      <c r="AR8">
        <v>20.37</v>
      </c>
      <c r="AS8">
        <v>20.37</v>
      </c>
      <c r="AT8">
        <v>20.37</v>
      </c>
    </row>
    <row r="9" spans="1:46" x14ac:dyDescent="0.25">
      <c r="A9" s="1" t="s">
        <v>150</v>
      </c>
      <c r="D9">
        <v>261</v>
      </c>
      <c r="E9">
        <v>261</v>
      </c>
      <c r="F9">
        <v>261</v>
      </c>
      <c r="G9">
        <v>261</v>
      </c>
      <c r="H9">
        <v>261</v>
      </c>
      <c r="I9">
        <v>261</v>
      </c>
      <c r="J9">
        <v>261</v>
      </c>
      <c r="K9">
        <v>261</v>
      </c>
      <c r="L9">
        <v>261</v>
      </c>
      <c r="M9">
        <v>261</v>
      </c>
      <c r="N9">
        <v>261</v>
      </c>
      <c r="O9">
        <v>261</v>
      </c>
      <c r="P9">
        <v>261</v>
      </c>
      <c r="Q9">
        <v>261</v>
      </c>
      <c r="R9">
        <v>261</v>
      </c>
      <c r="S9">
        <v>261</v>
      </c>
      <c r="T9">
        <v>287</v>
      </c>
      <c r="U9">
        <v>287</v>
      </c>
      <c r="V9">
        <v>287</v>
      </c>
      <c r="W9">
        <v>287</v>
      </c>
      <c r="X9">
        <v>287</v>
      </c>
      <c r="Y9">
        <v>287</v>
      </c>
      <c r="Z9">
        <v>287</v>
      </c>
      <c r="AA9">
        <v>287</v>
      </c>
      <c r="AB9">
        <v>287</v>
      </c>
      <c r="AC9">
        <v>287</v>
      </c>
      <c r="AD9">
        <v>287</v>
      </c>
      <c r="AE9">
        <v>287</v>
      </c>
      <c r="AF9">
        <v>287</v>
      </c>
      <c r="AG9">
        <v>287</v>
      </c>
      <c r="AH9">
        <v>287</v>
      </c>
      <c r="AI9">
        <v>287</v>
      </c>
      <c r="AJ9">
        <v>287</v>
      </c>
      <c r="AK9">
        <v>287</v>
      </c>
      <c r="AL9">
        <v>287</v>
      </c>
      <c r="AM9">
        <v>287</v>
      </c>
      <c r="AN9">
        <v>287</v>
      </c>
      <c r="AO9">
        <v>287</v>
      </c>
      <c r="AP9">
        <v>287</v>
      </c>
      <c r="AQ9">
        <v>287</v>
      </c>
      <c r="AR9">
        <v>287</v>
      </c>
      <c r="AS9">
        <v>287</v>
      </c>
      <c r="AT9">
        <v>287</v>
      </c>
    </row>
    <row r="10" spans="1:46" x14ac:dyDescent="0.25">
      <c r="G10" s="64"/>
      <c r="H10" s="65"/>
    </row>
    <row r="11" spans="1:46" x14ac:dyDescent="0.25">
      <c r="A11" s="1" t="s">
        <v>145</v>
      </c>
    </row>
    <row r="12" spans="1:46" x14ac:dyDescent="0.25">
      <c r="A12" s="59" t="s">
        <v>159</v>
      </c>
      <c r="D12">
        <v>586360</v>
      </c>
      <c r="E12">
        <v>586360</v>
      </c>
      <c r="F12">
        <v>586360</v>
      </c>
      <c r="G12">
        <v>586360</v>
      </c>
      <c r="H12">
        <v>586360</v>
      </c>
      <c r="I12">
        <v>586360</v>
      </c>
      <c r="J12">
        <v>586360</v>
      </c>
      <c r="K12">
        <v>586360</v>
      </c>
      <c r="L12">
        <v>586360</v>
      </c>
      <c r="M12">
        <v>586360</v>
      </c>
      <c r="N12">
        <v>586360</v>
      </c>
      <c r="O12">
        <v>586360</v>
      </c>
      <c r="P12">
        <v>586360</v>
      </c>
      <c r="Q12">
        <v>586360</v>
      </c>
      <c r="R12">
        <v>586360</v>
      </c>
      <c r="S12">
        <v>586360</v>
      </c>
      <c r="T12">
        <v>586360</v>
      </c>
      <c r="U12">
        <v>586360</v>
      </c>
      <c r="V12">
        <v>586360</v>
      </c>
      <c r="W12">
        <v>586360</v>
      </c>
      <c r="X12">
        <v>586360</v>
      </c>
      <c r="Y12">
        <v>586360</v>
      </c>
      <c r="Z12">
        <v>586360</v>
      </c>
      <c r="AA12">
        <v>586360</v>
      </c>
      <c r="AB12">
        <v>586360</v>
      </c>
      <c r="AC12">
        <v>586360</v>
      </c>
      <c r="AD12">
        <v>586360</v>
      </c>
      <c r="AE12">
        <v>586360</v>
      </c>
      <c r="AF12">
        <v>586360</v>
      </c>
      <c r="AG12">
        <v>586360</v>
      </c>
      <c r="AH12">
        <v>586360</v>
      </c>
      <c r="AI12">
        <v>586360</v>
      </c>
      <c r="AJ12">
        <v>586360</v>
      </c>
      <c r="AK12">
        <v>586360</v>
      </c>
      <c r="AL12">
        <v>586360</v>
      </c>
      <c r="AM12">
        <v>586360</v>
      </c>
      <c r="AN12">
        <v>586360</v>
      </c>
      <c r="AO12">
        <v>586360</v>
      </c>
      <c r="AP12">
        <v>586360</v>
      </c>
      <c r="AQ12">
        <v>586360</v>
      </c>
      <c r="AR12">
        <v>586360</v>
      </c>
      <c r="AS12">
        <v>586360</v>
      </c>
      <c r="AT12">
        <v>586360</v>
      </c>
    </row>
    <row r="13" spans="1:46" x14ac:dyDescent="0.25">
      <c r="A13" s="59" t="s">
        <v>160</v>
      </c>
      <c r="D13">
        <v>320000</v>
      </c>
      <c r="E13">
        <v>320000</v>
      </c>
      <c r="F13">
        <v>320000</v>
      </c>
      <c r="G13">
        <v>320000</v>
      </c>
      <c r="H13">
        <v>320000</v>
      </c>
      <c r="I13">
        <v>320000</v>
      </c>
      <c r="J13">
        <v>320000</v>
      </c>
      <c r="K13">
        <v>320000</v>
      </c>
      <c r="L13">
        <v>320000</v>
      </c>
      <c r="M13">
        <v>320000</v>
      </c>
      <c r="N13">
        <v>320000</v>
      </c>
      <c r="O13">
        <v>320000</v>
      </c>
      <c r="P13">
        <v>320000</v>
      </c>
      <c r="Q13">
        <v>320000</v>
      </c>
      <c r="R13">
        <v>320000</v>
      </c>
      <c r="S13">
        <v>320000</v>
      </c>
      <c r="T13">
        <v>320000</v>
      </c>
      <c r="U13">
        <v>320000</v>
      </c>
      <c r="V13">
        <v>320000</v>
      </c>
      <c r="W13">
        <v>320000</v>
      </c>
      <c r="X13">
        <v>320000</v>
      </c>
      <c r="Y13">
        <v>320000</v>
      </c>
      <c r="Z13">
        <v>320000</v>
      </c>
      <c r="AA13">
        <v>320000</v>
      </c>
      <c r="AB13">
        <v>320000</v>
      </c>
      <c r="AC13">
        <v>320000</v>
      </c>
      <c r="AD13">
        <v>320000</v>
      </c>
      <c r="AE13">
        <v>320000</v>
      </c>
      <c r="AF13">
        <v>320000</v>
      </c>
      <c r="AG13">
        <v>320000</v>
      </c>
      <c r="AH13">
        <v>320000</v>
      </c>
      <c r="AI13">
        <v>320000</v>
      </c>
      <c r="AJ13">
        <v>320000</v>
      </c>
      <c r="AK13">
        <v>320000</v>
      </c>
      <c r="AL13">
        <v>320000</v>
      </c>
      <c r="AM13">
        <v>320000</v>
      </c>
      <c r="AN13">
        <v>320000</v>
      </c>
      <c r="AO13">
        <v>320000</v>
      </c>
      <c r="AP13">
        <v>320000</v>
      </c>
      <c r="AQ13">
        <v>320000</v>
      </c>
      <c r="AR13">
        <v>320000</v>
      </c>
      <c r="AS13">
        <v>320000</v>
      </c>
      <c r="AT13">
        <v>320000</v>
      </c>
    </row>
    <row r="14" spans="1:46" x14ac:dyDescent="0.25">
      <c r="A14" s="59" t="s">
        <v>161</v>
      </c>
      <c r="D14">
        <v>303500</v>
      </c>
      <c r="E14">
        <v>303500</v>
      </c>
      <c r="F14">
        <v>303500</v>
      </c>
      <c r="G14">
        <v>303500</v>
      </c>
      <c r="H14">
        <v>303500</v>
      </c>
      <c r="I14">
        <v>303500</v>
      </c>
      <c r="J14">
        <v>303500</v>
      </c>
      <c r="K14">
        <v>303500</v>
      </c>
      <c r="L14">
        <v>303500</v>
      </c>
      <c r="M14">
        <v>303500</v>
      </c>
      <c r="N14">
        <v>303500</v>
      </c>
      <c r="O14">
        <v>303500</v>
      </c>
      <c r="P14">
        <v>303500</v>
      </c>
      <c r="Q14">
        <v>303500</v>
      </c>
      <c r="R14">
        <v>303500</v>
      </c>
      <c r="S14">
        <v>303500</v>
      </c>
      <c r="T14">
        <v>319500</v>
      </c>
      <c r="U14">
        <v>319500</v>
      </c>
      <c r="V14">
        <v>319500</v>
      </c>
      <c r="W14">
        <v>319500</v>
      </c>
      <c r="X14">
        <v>339500</v>
      </c>
      <c r="Y14">
        <v>349500</v>
      </c>
      <c r="Z14">
        <v>309500</v>
      </c>
      <c r="AA14">
        <v>329500</v>
      </c>
      <c r="AB14">
        <v>339500</v>
      </c>
      <c r="AC14">
        <v>339500</v>
      </c>
      <c r="AD14">
        <v>339500</v>
      </c>
      <c r="AE14">
        <v>339500</v>
      </c>
      <c r="AF14">
        <v>339500</v>
      </c>
      <c r="AG14">
        <v>339500</v>
      </c>
      <c r="AH14">
        <v>339500</v>
      </c>
      <c r="AI14">
        <v>339500</v>
      </c>
      <c r="AJ14">
        <v>339500</v>
      </c>
      <c r="AK14">
        <v>339500</v>
      </c>
      <c r="AL14">
        <v>339500</v>
      </c>
      <c r="AM14">
        <v>339500</v>
      </c>
      <c r="AN14">
        <v>339500</v>
      </c>
      <c r="AO14">
        <v>339500</v>
      </c>
      <c r="AP14">
        <v>339500</v>
      </c>
      <c r="AQ14">
        <v>339500</v>
      </c>
      <c r="AR14">
        <v>339500</v>
      </c>
      <c r="AS14">
        <v>339500</v>
      </c>
      <c r="AT14">
        <v>319500</v>
      </c>
    </row>
    <row r="15" spans="1:46" x14ac:dyDescent="0.25">
      <c r="A15" s="59" t="s">
        <v>162</v>
      </c>
      <c r="D15">
        <v>360000</v>
      </c>
      <c r="E15">
        <v>360000</v>
      </c>
      <c r="F15">
        <v>360000</v>
      </c>
      <c r="G15">
        <v>360000</v>
      </c>
      <c r="H15">
        <v>360000</v>
      </c>
      <c r="I15">
        <v>310000</v>
      </c>
      <c r="J15">
        <v>250000</v>
      </c>
      <c r="K15">
        <v>250000</v>
      </c>
      <c r="L15">
        <v>360000</v>
      </c>
      <c r="M15">
        <v>360000</v>
      </c>
      <c r="N15">
        <v>360000</v>
      </c>
      <c r="O15">
        <v>360000</v>
      </c>
      <c r="P15">
        <v>360000</v>
      </c>
      <c r="Q15">
        <v>360000</v>
      </c>
      <c r="R15">
        <v>360000</v>
      </c>
      <c r="S15">
        <v>360000</v>
      </c>
      <c r="T15">
        <v>320000</v>
      </c>
      <c r="U15">
        <v>320000</v>
      </c>
      <c r="V15">
        <v>320000</v>
      </c>
      <c r="W15">
        <v>320000</v>
      </c>
      <c r="X15">
        <v>320000</v>
      </c>
      <c r="Y15">
        <v>320000</v>
      </c>
      <c r="Z15">
        <v>320000</v>
      </c>
      <c r="AA15">
        <v>320000</v>
      </c>
      <c r="AB15">
        <v>320000</v>
      </c>
      <c r="AC15">
        <v>320000</v>
      </c>
      <c r="AD15">
        <v>320000</v>
      </c>
      <c r="AE15">
        <v>320000</v>
      </c>
      <c r="AF15">
        <v>320000</v>
      </c>
      <c r="AG15">
        <v>320000</v>
      </c>
      <c r="AH15">
        <v>320000</v>
      </c>
      <c r="AI15">
        <v>320000</v>
      </c>
      <c r="AJ15">
        <v>320000</v>
      </c>
      <c r="AK15">
        <v>320000</v>
      </c>
      <c r="AL15">
        <v>320000</v>
      </c>
      <c r="AM15">
        <v>320000</v>
      </c>
      <c r="AN15">
        <v>320000</v>
      </c>
      <c r="AO15">
        <v>320000</v>
      </c>
      <c r="AP15">
        <v>320000</v>
      </c>
      <c r="AQ15">
        <v>320000</v>
      </c>
      <c r="AR15">
        <v>320000</v>
      </c>
      <c r="AS15">
        <v>320000</v>
      </c>
      <c r="AT15">
        <v>320000</v>
      </c>
    </row>
    <row r="16" spans="1:46" x14ac:dyDescent="0.25">
      <c r="A16" s="59" t="s">
        <v>163</v>
      </c>
      <c r="D16">
        <v>205000</v>
      </c>
      <c r="E16">
        <v>205000</v>
      </c>
      <c r="F16">
        <v>205000</v>
      </c>
      <c r="G16">
        <v>205000</v>
      </c>
      <c r="H16">
        <v>205000</v>
      </c>
      <c r="I16">
        <v>205000</v>
      </c>
      <c r="J16">
        <v>205000</v>
      </c>
      <c r="K16">
        <v>205000</v>
      </c>
      <c r="L16">
        <v>205000</v>
      </c>
      <c r="M16">
        <v>205000</v>
      </c>
      <c r="N16">
        <v>205000</v>
      </c>
      <c r="O16">
        <v>205000</v>
      </c>
      <c r="P16">
        <v>205000</v>
      </c>
      <c r="Q16">
        <v>205000</v>
      </c>
      <c r="R16">
        <v>205000</v>
      </c>
      <c r="S16">
        <v>205000</v>
      </c>
      <c r="T16">
        <v>205000</v>
      </c>
      <c r="U16">
        <v>205000</v>
      </c>
      <c r="V16">
        <v>205000</v>
      </c>
      <c r="W16">
        <v>205000</v>
      </c>
      <c r="X16">
        <v>205000</v>
      </c>
      <c r="Y16">
        <v>205000</v>
      </c>
      <c r="Z16">
        <v>205000</v>
      </c>
      <c r="AA16">
        <v>205000</v>
      </c>
      <c r="AB16">
        <v>205000</v>
      </c>
      <c r="AC16">
        <v>205000</v>
      </c>
      <c r="AD16">
        <v>205000</v>
      </c>
      <c r="AE16">
        <v>205000</v>
      </c>
      <c r="AF16">
        <v>205000</v>
      </c>
      <c r="AG16">
        <v>205000</v>
      </c>
      <c r="AH16">
        <v>205000</v>
      </c>
      <c r="AI16">
        <v>205000</v>
      </c>
      <c r="AJ16">
        <v>205000</v>
      </c>
      <c r="AK16">
        <v>205000</v>
      </c>
      <c r="AL16">
        <v>205000</v>
      </c>
      <c r="AM16">
        <v>205000</v>
      </c>
      <c r="AN16">
        <v>205000</v>
      </c>
      <c r="AO16">
        <v>205000</v>
      </c>
      <c r="AP16">
        <v>205000</v>
      </c>
      <c r="AQ16">
        <v>205000</v>
      </c>
      <c r="AR16">
        <v>205000</v>
      </c>
      <c r="AS16">
        <v>205000</v>
      </c>
      <c r="AT16">
        <v>205000</v>
      </c>
    </row>
    <row r="17" spans="1:46" x14ac:dyDescent="0.25">
      <c r="G17" s="64"/>
      <c r="H17" s="65"/>
    </row>
    <row r="18" spans="1:46" x14ac:dyDescent="0.25">
      <c r="A18" s="57" t="s">
        <v>144</v>
      </c>
      <c r="G18" s="64"/>
      <c r="H18" s="57"/>
    </row>
    <row r="19" spans="1:46" x14ac:dyDescent="0.25">
      <c r="A19" s="58" t="s">
        <v>164</v>
      </c>
      <c r="B19" s="61"/>
      <c r="C19" s="61"/>
      <c r="D19" s="61">
        <f t="shared" ref="C19:D19" si="0">D25-D26</f>
        <v>2</v>
      </c>
      <c r="E19" s="61">
        <f>E25-E26</f>
        <v>4</v>
      </c>
      <c r="F19" s="61">
        <f>F25-F26</f>
        <v>4</v>
      </c>
      <c r="G19" s="61">
        <f>G25-G26</f>
        <v>4</v>
      </c>
      <c r="H19" s="61">
        <f>H25-H26</f>
        <v>0.2</v>
      </c>
      <c r="I19" s="61">
        <f t="shared" ref="I19:T19" si="1">I25-I26</f>
        <v>0.2</v>
      </c>
      <c r="J19" s="61">
        <f t="shared" si="1"/>
        <v>0.2</v>
      </c>
      <c r="K19" s="61">
        <f t="shared" si="1"/>
        <v>2</v>
      </c>
      <c r="L19" s="61">
        <f t="shared" si="1"/>
        <v>2</v>
      </c>
      <c r="M19" s="61">
        <f t="shared" si="1"/>
        <v>2</v>
      </c>
      <c r="N19" s="61">
        <f t="shared" si="1"/>
        <v>2</v>
      </c>
      <c r="O19" s="61">
        <f t="shared" si="1"/>
        <v>2</v>
      </c>
      <c r="P19" s="61">
        <f t="shared" si="1"/>
        <v>2</v>
      </c>
      <c r="Q19" s="61">
        <f t="shared" si="1"/>
        <v>2</v>
      </c>
      <c r="R19" s="61">
        <f t="shared" si="1"/>
        <v>2</v>
      </c>
      <c r="S19" s="61">
        <f t="shared" si="1"/>
        <v>2</v>
      </c>
      <c r="T19" s="61">
        <f t="shared" si="1"/>
        <v>2</v>
      </c>
      <c r="U19" s="61">
        <f t="shared" ref="U19:AR19" si="2">U25-U26</f>
        <v>2</v>
      </c>
      <c r="V19" s="61">
        <f t="shared" si="2"/>
        <v>2</v>
      </c>
      <c r="W19" s="61">
        <f t="shared" si="2"/>
        <v>2</v>
      </c>
      <c r="X19" s="61">
        <f t="shared" si="2"/>
        <v>2</v>
      </c>
      <c r="Y19" s="61">
        <f t="shared" si="2"/>
        <v>2</v>
      </c>
      <c r="Z19" s="61">
        <f t="shared" si="2"/>
        <v>2</v>
      </c>
      <c r="AA19" s="61">
        <f t="shared" si="2"/>
        <v>2</v>
      </c>
      <c r="AB19" s="61">
        <f t="shared" si="2"/>
        <v>2</v>
      </c>
      <c r="AC19" s="61">
        <f t="shared" si="2"/>
        <v>2</v>
      </c>
      <c r="AD19" s="61">
        <f t="shared" si="2"/>
        <v>2</v>
      </c>
      <c r="AE19" s="61">
        <f t="shared" si="2"/>
        <v>2</v>
      </c>
      <c r="AF19" s="61">
        <f t="shared" si="2"/>
        <v>2</v>
      </c>
      <c r="AG19" s="61">
        <f t="shared" si="2"/>
        <v>2</v>
      </c>
      <c r="AH19" s="61">
        <f t="shared" si="2"/>
        <v>2</v>
      </c>
      <c r="AI19" s="61">
        <f t="shared" si="2"/>
        <v>2</v>
      </c>
      <c r="AJ19" s="61">
        <f t="shared" si="2"/>
        <v>2</v>
      </c>
      <c r="AK19" s="61">
        <f t="shared" si="2"/>
        <v>2</v>
      </c>
      <c r="AL19" s="61">
        <f t="shared" si="2"/>
        <v>2</v>
      </c>
      <c r="AM19" s="61">
        <f t="shared" si="2"/>
        <v>2</v>
      </c>
      <c r="AN19" s="61">
        <f t="shared" si="2"/>
        <v>2</v>
      </c>
      <c r="AO19" s="61">
        <f t="shared" si="2"/>
        <v>2</v>
      </c>
      <c r="AP19" s="61">
        <f t="shared" si="2"/>
        <v>2</v>
      </c>
      <c r="AQ19" s="61">
        <f t="shared" si="2"/>
        <v>2</v>
      </c>
      <c r="AR19" s="61">
        <f t="shared" si="2"/>
        <v>2</v>
      </c>
      <c r="AS19" s="61">
        <f t="shared" ref="AS19:AT19" si="3">AS25-AS26</f>
        <v>2</v>
      </c>
      <c r="AT19" s="61">
        <f t="shared" si="3"/>
        <v>2</v>
      </c>
    </row>
    <row r="20" spans="1:46" x14ac:dyDescent="0.25">
      <c r="A20" s="58" t="s">
        <v>165</v>
      </c>
      <c r="B20" s="62"/>
      <c r="C20" s="62"/>
      <c r="D20" s="62">
        <f t="shared" ref="C20:T20" si="4">D23-D24</f>
        <v>1</v>
      </c>
      <c r="E20" s="62">
        <f t="shared" si="4"/>
        <v>0.1</v>
      </c>
      <c r="F20" s="62">
        <f t="shared" si="4"/>
        <v>0.1</v>
      </c>
      <c r="G20" s="62">
        <f t="shared" si="4"/>
        <v>0.2</v>
      </c>
      <c r="H20" s="62">
        <f t="shared" si="4"/>
        <v>4</v>
      </c>
      <c r="I20" s="62">
        <f t="shared" si="4"/>
        <v>4</v>
      </c>
      <c r="J20" s="62">
        <f t="shared" si="4"/>
        <v>4</v>
      </c>
      <c r="K20" s="62">
        <f t="shared" si="4"/>
        <v>1</v>
      </c>
      <c r="L20" s="62">
        <f t="shared" si="4"/>
        <v>1</v>
      </c>
      <c r="M20" s="62">
        <f t="shared" si="4"/>
        <v>1</v>
      </c>
      <c r="N20" s="62">
        <f t="shared" si="4"/>
        <v>1</v>
      </c>
      <c r="O20" s="62">
        <f t="shared" si="4"/>
        <v>1</v>
      </c>
      <c r="P20" s="62">
        <f t="shared" si="4"/>
        <v>1</v>
      </c>
      <c r="Q20" s="62">
        <f t="shared" si="4"/>
        <v>1</v>
      </c>
      <c r="R20" s="62">
        <f t="shared" si="4"/>
        <v>1</v>
      </c>
      <c r="S20" s="62">
        <f t="shared" si="4"/>
        <v>1</v>
      </c>
      <c r="T20" s="62">
        <f t="shared" si="4"/>
        <v>1</v>
      </c>
      <c r="U20" s="62">
        <f t="shared" ref="U20:AR20" si="5">U23-U24</f>
        <v>1</v>
      </c>
      <c r="V20" s="62">
        <f t="shared" si="5"/>
        <v>1</v>
      </c>
      <c r="W20" s="62">
        <f t="shared" si="5"/>
        <v>1</v>
      </c>
      <c r="X20" s="62">
        <f t="shared" si="5"/>
        <v>1</v>
      </c>
      <c r="Y20" s="62">
        <f t="shared" si="5"/>
        <v>1</v>
      </c>
      <c r="Z20" s="62">
        <f t="shared" si="5"/>
        <v>1</v>
      </c>
      <c r="AA20" s="62">
        <f t="shared" si="5"/>
        <v>1</v>
      </c>
      <c r="AB20" s="62">
        <f t="shared" si="5"/>
        <v>1</v>
      </c>
      <c r="AC20" s="62">
        <f t="shared" si="5"/>
        <v>1</v>
      </c>
      <c r="AD20" s="62">
        <f t="shared" si="5"/>
        <v>1</v>
      </c>
      <c r="AE20" s="62">
        <f t="shared" si="5"/>
        <v>1</v>
      </c>
      <c r="AF20" s="62">
        <f t="shared" si="5"/>
        <v>1</v>
      </c>
      <c r="AG20" s="62">
        <f t="shared" si="5"/>
        <v>1</v>
      </c>
      <c r="AH20" s="62">
        <f t="shared" si="5"/>
        <v>1</v>
      </c>
      <c r="AI20" s="62">
        <f t="shared" si="5"/>
        <v>1</v>
      </c>
      <c r="AJ20" s="62">
        <f t="shared" si="5"/>
        <v>1</v>
      </c>
      <c r="AK20" s="62">
        <f t="shared" si="5"/>
        <v>1</v>
      </c>
      <c r="AL20" s="62">
        <f t="shared" si="5"/>
        <v>1</v>
      </c>
      <c r="AM20" s="62">
        <f t="shared" si="5"/>
        <v>1</v>
      </c>
      <c r="AN20" s="62">
        <f t="shared" si="5"/>
        <v>1</v>
      </c>
      <c r="AO20" s="62">
        <f t="shared" si="5"/>
        <v>1</v>
      </c>
      <c r="AP20" s="62">
        <f t="shared" si="5"/>
        <v>1</v>
      </c>
      <c r="AQ20" s="62">
        <f t="shared" si="5"/>
        <v>1</v>
      </c>
      <c r="AR20" s="62">
        <f t="shared" si="5"/>
        <v>1</v>
      </c>
      <c r="AS20" s="62">
        <f t="shared" ref="AS20:AT20" si="6">AS23-AS24</f>
        <v>1</v>
      </c>
      <c r="AT20" s="62">
        <f t="shared" si="6"/>
        <v>1</v>
      </c>
    </row>
    <row r="21" spans="1:46" x14ac:dyDescent="0.25">
      <c r="A21" s="58" t="s">
        <v>169</v>
      </c>
      <c r="B21" s="62"/>
      <c r="C21" s="62"/>
      <c r="D21" s="62">
        <f t="shared" ref="C21:T21" si="7">(-D25-D26)/2</f>
        <v>0</v>
      </c>
      <c r="E21" s="62">
        <f t="shared" si="7"/>
        <v>0</v>
      </c>
      <c r="F21" s="62">
        <f t="shared" si="7"/>
        <v>0</v>
      </c>
      <c r="G21" s="62">
        <f t="shared" si="7"/>
        <v>0</v>
      </c>
      <c r="H21" s="62">
        <f t="shared" si="7"/>
        <v>0</v>
      </c>
      <c r="I21" s="62">
        <f t="shared" si="7"/>
        <v>0</v>
      </c>
      <c r="J21" s="62">
        <f t="shared" si="7"/>
        <v>0</v>
      </c>
      <c r="K21" s="62">
        <f t="shared" si="7"/>
        <v>0</v>
      </c>
      <c r="L21" s="62">
        <f t="shared" si="7"/>
        <v>0</v>
      </c>
      <c r="M21" s="62">
        <f t="shared" si="7"/>
        <v>0</v>
      </c>
      <c r="N21" s="62">
        <f t="shared" si="7"/>
        <v>0</v>
      </c>
      <c r="O21" s="62">
        <f t="shared" si="7"/>
        <v>0</v>
      </c>
      <c r="P21" s="62">
        <f t="shared" si="7"/>
        <v>0</v>
      </c>
      <c r="Q21" s="62">
        <f t="shared" si="7"/>
        <v>0</v>
      </c>
      <c r="R21" s="62">
        <f t="shared" si="7"/>
        <v>0</v>
      </c>
      <c r="S21" s="62">
        <f t="shared" si="7"/>
        <v>0</v>
      </c>
      <c r="T21" s="62">
        <f t="shared" si="7"/>
        <v>-0.14999999999999997</v>
      </c>
      <c r="U21" s="62">
        <f t="shared" ref="U21:AR21" si="8">(-U25-U26)/2</f>
        <v>-0.14999999999999997</v>
      </c>
      <c r="V21" s="62">
        <f t="shared" si="8"/>
        <v>-0.14999999999999997</v>
      </c>
      <c r="W21" s="62">
        <f t="shared" si="8"/>
        <v>-0.14999999999999997</v>
      </c>
      <c r="X21" s="62">
        <f t="shared" si="8"/>
        <v>-0.14999999999999997</v>
      </c>
      <c r="Y21" s="62">
        <f t="shared" si="8"/>
        <v>-0.14999999999999997</v>
      </c>
      <c r="Z21" s="62">
        <f t="shared" si="8"/>
        <v>-0.14999999999999997</v>
      </c>
      <c r="AA21" s="62">
        <f t="shared" si="8"/>
        <v>-0.14999999999999997</v>
      </c>
      <c r="AB21" s="62">
        <f t="shared" si="8"/>
        <v>-0.14999999999999997</v>
      </c>
      <c r="AC21" s="62">
        <f t="shared" si="8"/>
        <v>-0.14999999999999997</v>
      </c>
      <c r="AD21" s="62">
        <f t="shared" si="8"/>
        <v>-0.14999999999999997</v>
      </c>
      <c r="AE21" s="62">
        <f t="shared" si="8"/>
        <v>-0.14999999999999997</v>
      </c>
      <c r="AF21" s="62">
        <f t="shared" si="8"/>
        <v>-0.14999999999999997</v>
      </c>
      <c r="AG21" s="62">
        <f t="shared" si="8"/>
        <v>-0.14999999999999997</v>
      </c>
      <c r="AH21" s="62">
        <f t="shared" si="8"/>
        <v>-0.14999999999999997</v>
      </c>
      <c r="AI21" s="62">
        <f t="shared" si="8"/>
        <v>-0.14999999999999997</v>
      </c>
      <c r="AJ21" s="62">
        <f t="shared" si="8"/>
        <v>-0.14999999999999997</v>
      </c>
      <c r="AK21" s="62">
        <f t="shared" si="8"/>
        <v>-0.14999999999999997</v>
      </c>
      <c r="AL21" s="62">
        <f t="shared" si="8"/>
        <v>-0.14999999999999997</v>
      </c>
      <c r="AM21" s="62">
        <f t="shared" si="8"/>
        <v>-0.14999999999999997</v>
      </c>
      <c r="AN21" s="62">
        <f t="shared" si="8"/>
        <v>-0.14999999999999997</v>
      </c>
      <c r="AO21" s="62">
        <f t="shared" si="8"/>
        <v>-0.14999999999999997</v>
      </c>
      <c r="AP21" s="62">
        <f t="shared" si="8"/>
        <v>-0.14999999999999997</v>
      </c>
      <c r="AQ21" s="62">
        <f t="shared" si="8"/>
        <v>-0.14999999999999997</v>
      </c>
      <c r="AR21" s="62">
        <f t="shared" si="8"/>
        <v>-0.14999999999999997</v>
      </c>
      <c r="AS21" s="62">
        <f t="shared" ref="AS21:AT21" si="9">(-AS25-AS26)/2</f>
        <v>-0.14999999999999997</v>
      </c>
      <c r="AT21" s="62">
        <f t="shared" si="9"/>
        <v>-0.14999999999999997</v>
      </c>
    </row>
    <row r="22" spans="1:46" x14ac:dyDescent="0.25">
      <c r="A22" s="58" t="s">
        <v>170</v>
      </c>
      <c r="B22" s="62"/>
      <c r="C22" s="62"/>
      <c r="D22" s="62">
        <f t="shared" ref="C22:T22" si="10">(D23+D24)/2</f>
        <v>0</v>
      </c>
      <c r="E22" s="62">
        <f t="shared" si="10"/>
        <v>-0.05</v>
      </c>
      <c r="F22" s="62">
        <f t="shared" si="10"/>
        <v>-0.05</v>
      </c>
      <c r="G22" s="62">
        <f t="shared" si="10"/>
        <v>0</v>
      </c>
      <c r="H22" s="62">
        <f t="shared" si="10"/>
        <v>0</v>
      </c>
      <c r="I22" s="62">
        <f t="shared" si="10"/>
        <v>0</v>
      </c>
      <c r="J22" s="62">
        <f t="shared" si="10"/>
        <v>0</v>
      </c>
      <c r="K22" s="62">
        <f t="shared" si="10"/>
        <v>0</v>
      </c>
      <c r="L22" s="62">
        <f t="shared" si="10"/>
        <v>0</v>
      </c>
      <c r="M22" s="62">
        <f t="shared" si="10"/>
        <v>0</v>
      </c>
      <c r="N22" s="62">
        <f t="shared" si="10"/>
        <v>0</v>
      </c>
      <c r="O22" s="62">
        <f t="shared" si="10"/>
        <v>0</v>
      </c>
      <c r="P22" s="62">
        <f t="shared" si="10"/>
        <v>0</v>
      </c>
      <c r="Q22" s="62">
        <f t="shared" si="10"/>
        <v>0</v>
      </c>
      <c r="R22" s="62">
        <f t="shared" si="10"/>
        <v>0</v>
      </c>
      <c r="S22" s="62">
        <f t="shared" si="10"/>
        <v>0</v>
      </c>
      <c r="T22" s="62">
        <f t="shared" si="10"/>
        <v>-5.0000000000000017E-2</v>
      </c>
      <c r="U22" s="62">
        <f t="shared" ref="U22:AR22" si="11">(U23+U24)/2</f>
        <v>-5.0000000000000017E-2</v>
      </c>
      <c r="V22" s="62">
        <f t="shared" si="11"/>
        <v>-5.0000000000000017E-2</v>
      </c>
      <c r="W22" s="62">
        <f t="shared" si="11"/>
        <v>-5.0000000000000017E-2</v>
      </c>
      <c r="X22" s="62">
        <f t="shared" si="11"/>
        <v>-5.0000000000000017E-2</v>
      </c>
      <c r="Y22" s="62">
        <f t="shared" si="11"/>
        <v>-5.0000000000000017E-2</v>
      </c>
      <c r="Z22" s="62">
        <f t="shared" si="11"/>
        <v>-5.0000000000000017E-2</v>
      </c>
      <c r="AA22" s="62">
        <f t="shared" si="11"/>
        <v>-5.0000000000000017E-2</v>
      </c>
      <c r="AB22" s="62">
        <f t="shared" si="11"/>
        <v>-5.0000000000000017E-2</v>
      </c>
      <c r="AC22" s="62">
        <f t="shared" si="11"/>
        <v>-5.0000000000000017E-2</v>
      </c>
      <c r="AD22" s="62">
        <f t="shared" si="11"/>
        <v>-5.0000000000000017E-2</v>
      </c>
      <c r="AE22" s="62">
        <f t="shared" si="11"/>
        <v>-5.0000000000000017E-2</v>
      </c>
      <c r="AF22" s="62">
        <f t="shared" si="11"/>
        <v>-5.0000000000000017E-2</v>
      </c>
      <c r="AG22" s="62">
        <f t="shared" si="11"/>
        <v>-5.0000000000000017E-2</v>
      </c>
      <c r="AH22" s="62">
        <f t="shared" si="11"/>
        <v>-5.0000000000000017E-2</v>
      </c>
      <c r="AI22" s="62">
        <f t="shared" si="11"/>
        <v>-5.0000000000000017E-2</v>
      </c>
      <c r="AJ22" s="62">
        <f t="shared" si="11"/>
        <v>-5.0000000000000017E-2</v>
      </c>
      <c r="AK22" s="62">
        <f t="shared" si="11"/>
        <v>-5.0000000000000017E-2</v>
      </c>
      <c r="AL22" s="62">
        <f t="shared" si="11"/>
        <v>-5.0000000000000017E-2</v>
      </c>
      <c r="AM22" s="62">
        <f t="shared" si="11"/>
        <v>-5.0000000000000017E-2</v>
      </c>
      <c r="AN22" s="62">
        <f t="shared" si="11"/>
        <v>-5.0000000000000017E-2</v>
      </c>
      <c r="AO22" s="62">
        <f t="shared" si="11"/>
        <v>-5.0000000000000017E-2</v>
      </c>
      <c r="AP22" s="62">
        <f t="shared" si="11"/>
        <v>-5.0000000000000017E-2</v>
      </c>
      <c r="AQ22" s="62">
        <f t="shared" si="11"/>
        <v>-5.0000000000000017E-2</v>
      </c>
      <c r="AR22" s="62">
        <f t="shared" si="11"/>
        <v>-5.0000000000000017E-2</v>
      </c>
      <c r="AS22" s="62">
        <f t="shared" ref="AS22:AT22" si="12">(AS23+AS24)/2</f>
        <v>-5.0000000000000017E-2</v>
      </c>
      <c r="AT22" s="62">
        <f t="shared" si="12"/>
        <v>-5.0000000000000017E-2</v>
      </c>
    </row>
    <row r="23" spans="1:46" x14ac:dyDescent="0.25">
      <c r="A23" s="13" t="s">
        <v>166</v>
      </c>
      <c r="D23">
        <v>0.5</v>
      </c>
      <c r="E23">
        <v>0</v>
      </c>
      <c r="F23">
        <v>0</v>
      </c>
      <c r="G23">
        <v>0.1</v>
      </c>
      <c r="H23">
        <v>2</v>
      </c>
      <c r="I23">
        <v>2</v>
      </c>
      <c r="J23">
        <v>2</v>
      </c>
      <c r="K23">
        <v>0.5</v>
      </c>
      <c r="L23">
        <v>0.5</v>
      </c>
      <c r="M23">
        <v>0.5</v>
      </c>
      <c r="N23">
        <v>0.5</v>
      </c>
      <c r="O23">
        <v>0.5</v>
      </c>
      <c r="P23">
        <v>0.5</v>
      </c>
      <c r="Q23">
        <v>0.5</v>
      </c>
      <c r="R23">
        <v>0.5</v>
      </c>
      <c r="S23">
        <v>0.5</v>
      </c>
      <c r="T23">
        <v>0.45</v>
      </c>
      <c r="U23">
        <v>0.45</v>
      </c>
      <c r="V23">
        <v>0.45</v>
      </c>
      <c r="W23">
        <v>0.45</v>
      </c>
      <c r="X23">
        <v>0.45</v>
      </c>
      <c r="Y23">
        <v>0.45</v>
      </c>
      <c r="Z23">
        <v>0.45</v>
      </c>
      <c r="AA23">
        <v>0.45</v>
      </c>
      <c r="AB23">
        <v>0.45</v>
      </c>
      <c r="AC23">
        <v>0.45</v>
      </c>
      <c r="AD23">
        <v>0.45</v>
      </c>
      <c r="AE23">
        <v>0.45</v>
      </c>
      <c r="AF23">
        <v>0.45</v>
      </c>
      <c r="AG23">
        <v>0.45</v>
      </c>
      <c r="AH23">
        <v>0.45</v>
      </c>
      <c r="AI23">
        <v>0.45</v>
      </c>
      <c r="AJ23">
        <v>0.45</v>
      </c>
      <c r="AK23">
        <v>0.45</v>
      </c>
      <c r="AL23">
        <v>0.45</v>
      </c>
      <c r="AM23">
        <v>0.45</v>
      </c>
      <c r="AN23">
        <v>0.45</v>
      </c>
      <c r="AO23">
        <v>0.45</v>
      </c>
      <c r="AP23">
        <v>0.45</v>
      </c>
      <c r="AQ23">
        <v>0.45</v>
      </c>
      <c r="AR23">
        <v>0.45</v>
      </c>
      <c r="AS23">
        <v>0.45</v>
      </c>
      <c r="AT23">
        <v>0.45</v>
      </c>
    </row>
    <row r="24" spans="1:46" x14ac:dyDescent="0.25">
      <c r="A24" s="13" t="s">
        <v>167</v>
      </c>
      <c r="D24">
        <v>-0.5</v>
      </c>
      <c r="E24">
        <v>-0.1</v>
      </c>
      <c r="F24">
        <v>-0.1</v>
      </c>
      <c r="G24">
        <v>-0.1</v>
      </c>
      <c r="H24">
        <v>-2</v>
      </c>
      <c r="I24">
        <v>-2</v>
      </c>
      <c r="J24">
        <v>-2</v>
      </c>
      <c r="K24">
        <v>-0.5</v>
      </c>
      <c r="L24">
        <v>-0.5</v>
      </c>
      <c r="M24">
        <v>-0.5</v>
      </c>
      <c r="N24">
        <v>-0.5</v>
      </c>
      <c r="O24">
        <v>-0.5</v>
      </c>
      <c r="P24">
        <v>-0.5</v>
      </c>
      <c r="Q24">
        <v>-0.5</v>
      </c>
      <c r="R24">
        <v>-0.5</v>
      </c>
      <c r="S24">
        <v>-0.5</v>
      </c>
      <c r="T24">
        <v>-0.55000000000000004</v>
      </c>
      <c r="U24">
        <v>-0.55000000000000004</v>
      </c>
      <c r="V24">
        <v>-0.55000000000000004</v>
      </c>
      <c r="W24">
        <v>-0.55000000000000004</v>
      </c>
      <c r="X24">
        <v>-0.55000000000000004</v>
      </c>
      <c r="Y24">
        <v>-0.55000000000000004</v>
      </c>
      <c r="Z24">
        <v>-0.55000000000000004</v>
      </c>
      <c r="AA24">
        <v>-0.55000000000000004</v>
      </c>
      <c r="AB24">
        <v>-0.55000000000000004</v>
      </c>
      <c r="AC24">
        <v>-0.55000000000000004</v>
      </c>
      <c r="AD24">
        <v>-0.55000000000000004</v>
      </c>
      <c r="AE24">
        <v>-0.55000000000000004</v>
      </c>
      <c r="AF24">
        <v>-0.55000000000000004</v>
      </c>
      <c r="AG24">
        <v>-0.55000000000000004</v>
      </c>
      <c r="AH24">
        <v>-0.55000000000000004</v>
      </c>
      <c r="AI24">
        <v>-0.55000000000000004</v>
      </c>
      <c r="AJ24">
        <v>-0.55000000000000004</v>
      </c>
      <c r="AK24">
        <v>-0.55000000000000004</v>
      </c>
      <c r="AL24">
        <v>-0.55000000000000004</v>
      </c>
      <c r="AM24">
        <v>-0.55000000000000004</v>
      </c>
      <c r="AN24">
        <v>-0.55000000000000004</v>
      </c>
      <c r="AO24">
        <v>-0.55000000000000004</v>
      </c>
      <c r="AP24">
        <v>-0.55000000000000004</v>
      </c>
      <c r="AQ24">
        <v>-0.55000000000000004</v>
      </c>
      <c r="AR24">
        <v>-0.55000000000000004</v>
      </c>
      <c r="AS24">
        <v>-0.55000000000000004</v>
      </c>
      <c r="AT24">
        <v>-0.55000000000000004</v>
      </c>
    </row>
    <row r="25" spans="1:46" x14ac:dyDescent="0.25">
      <c r="A25" s="13" t="s">
        <v>168</v>
      </c>
      <c r="B25" s="60"/>
      <c r="D25">
        <v>1</v>
      </c>
      <c r="E25">
        <v>2</v>
      </c>
      <c r="F25">
        <v>2</v>
      </c>
      <c r="G25">
        <v>2</v>
      </c>
      <c r="H25">
        <v>0.1</v>
      </c>
      <c r="I25">
        <v>0.1</v>
      </c>
      <c r="J25">
        <v>0.1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1.1499999999999999</v>
      </c>
      <c r="U25">
        <v>1.1499999999999999</v>
      </c>
      <c r="V25">
        <v>1.1499999999999999</v>
      </c>
      <c r="W25">
        <v>1.1499999999999999</v>
      </c>
      <c r="X25">
        <v>1.1499999999999999</v>
      </c>
      <c r="Y25">
        <v>1.1499999999999999</v>
      </c>
      <c r="Z25">
        <v>1.1499999999999999</v>
      </c>
      <c r="AA25">
        <v>1.1499999999999999</v>
      </c>
      <c r="AB25">
        <v>1.1499999999999999</v>
      </c>
      <c r="AC25">
        <v>1.1499999999999999</v>
      </c>
      <c r="AD25">
        <v>1.1499999999999999</v>
      </c>
      <c r="AE25">
        <v>1.1499999999999999</v>
      </c>
      <c r="AF25">
        <v>1.1499999999999999</v>
      </c>
      <c r="AG25">
        <v>1.1499999999999999</v>
      </c>
      <c r="AH25">
        <v>1.1499999999999999</v>
      </c>
      <c r="AI25">
        <v>1.1499999999999999</v>
      </c>
      <c r="AJ25">
        <v>1.1499999999999999</v>
      </c>
      <c r="AK25">
        <v>1.1499999999999999</v>
      </c>
      <c r="AL25">
        <v>1.1499999999999999</v>
      </c>
      <c r="AM25">
        <v>1.1499999999999999</v>
      </c>
      <c r="AN25">
        <v>1.1499999999999999</v>
      </c>
      <c r="AO25">
        <v>1.1499999999999999</v>
      </c>
      <c r="AP25">
        <v>1.1499999999999999</v>
      </c>
      <c r="AQ25">
        <v>1.1499999999999999</v>
      </c>
      <c r="AR25">
        <v>1.1499999999999999</v>
      </c>
      <c r="AS25">
        <v>1.1499999999999999</v>
      </c>
      <c r="AT25">
        <v>1.1499999999999999</v>
      </c>
    </row>
    <row r="26" spans="1:46" x14ac:dyDescent="0.25">
      <c r="A26" s="13" t="s">
        <v>171</v>
      </c>
      <c r="D26">
        <v>-1</v>
      </c>
      <c r="E26">
        <v>-2</v>
      </c>
      <c r="F26">
        <v>-2</v>
      </c>
      <c r="G26">
        <v>-2</v>
      </c>
      <c r="H26">
        <v>-0.1</v>
      </c>
      <c r="I26">
        <v>-0.1</v>
      </c>
      <c r="J26">
        <v>-0.1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-0.85</v>
      </c>
      <c r="U26">
        <v>-0.85</v>
      </c>
      <c r="V26">
        <v>-0.85</v>
      </c>
      <c r="W26">
        <v>-0.85</v>
      </c>
      <c r="X26">
        <v>-0.85</v>
      </c>
      <c r="Y26">
        <v>-0.85</v>
      </c>
      <c r="Z26">
        <v>-0.85</v>
      </c>
      <c r="AA26">
        <v>-0.85</v>
      </c>
      <c r="AB26">
        <v>-0.85</v>
      </c>
      <c r="AC26">
        <v>-0.85</v>
      </c>
      <c r="AD26">
        <v>-0.85</v>
      </c>
      <c r="AE26">
        <v>-0.85</v>
      </c>
      <c r="AF26">
        <v>-0.85</v>
      </c>
      <c r="AG26">
        <v>-0.85</v>
      </c>
      <c r="AH26">
        <v>-0.85</v>
      </c>
      <c r="AI26">
        <v>-0.85</v>
      </c>
      <c r="AJ26">
        <v>-0.85</v>
      </c>
      <c r="AK26">
        <v>-0.85</v>
      </c>
      <c r="AL26">
        <v>-0.85</v>
      </c>
      <c r="AM26">
        <v>-0.85</v>
      </c>
      <c r="AN26">
        <v>-0.85</v>
      </c>
      <c r="AO26">
        <v>-0.85</v>
      </c>
      <c r="AP26">
        <v>-0.85</v>
      </c>
      <c r="AQ26">
        <v>-0.85</v>
      </c>
      <c r="AR26">
        <v>-0.85</v>
      </c>
      <c r="AS26">
        <v>-0.85</v>
      </c>
      <c r="AT26">
        <v>-0.85</v>
      </c>
    </row>
    <row r="27" spans="1:46" x14ac:dyDescent="0.25">
      <c r="G27" s="64"/>
      <c r="H27" s="57"/>
    </row>
    <row r="28" spans="1:46" x14ac:dyDescent="0.25">
      <c r="A28" s="1" t="s">
        <v>146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100</v>
      </c>
      <c r="N28">
        <v>100</v>
      </c>
      <c r="O28">
        <v>5</v>
      </c>
      <c r="P28">
        <v>5</v>
      </c>
      <c r="Q28">
        <v>5</v>
      </c>
      <c r="R28">
        <v>5</v>
      </c>
      <c r="S28">
        <v>100</v>
      </c>
      <c r="T28">
        <v>10</v>
      </c>
      <c r="U28">
        <v>100</v>
      </c>
      <c r="V28">
        <v>10</v>
      </c>
      <c r="W28">
        <v>10</v>
      </c>
      <c r="X28">
        <v>10</v>
      </c>
      <c r="Y28">
        <v>10</v>
      </c>
      <c r="Z28">
        <v>10</v>
      </c>
      <c r="AA28">
        <v>10</v>
      </c>
      <c r="AB28">
        <v>100</v>
      </c>
      <c r="AC28">
        <v>10</v>
      </c>
      <c r="AD28">
        <v>10</v>
      </c>
      <c r="AE28">
        <v>10</v>
      </c>
      <c r="AF28">
        <v>10</v>
      </c>
      <c r="AG28">
        <v>10</v>
      </c>
      <c r="AH28">
        <v>10</v>
      </c>
      <c r="AI28">
        <v>10</v>
      </c>
      <c r="AJ28">
        <v>10</v>
      </c>
      <c r="AK28">
        <v>10</v>
      </c>
      <c r="AL28">
        <v>10</v>
      </c>
      <c r="AM28">
        <v>10</v>
      </c>
      <c r="AN28">
        <v>10</v>
      </c>
      <c r="AO28">
        <v>10</v>
      </c>
      <c r="AP28">
        <v>10</v>
      </c>
      <c r="AQ28">
        <v>10</v>
      </c>
      <c r="AR28">
        <v>10</v>
      </c>
      <c r="AS28">
        <v>10</v>
      </c>
      <c r="AT28">
        <v>10</v>
      </c>
    </row>
    <row r="29" spans="1:46" x14ac:dyDescent="0.25">
      <c r="A29" s="13" t="s">
        <v>152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  <c r="K29">
        <v>7</v>
      </c>
      <c r="L29">
        <v>7</v>
      </c>
      <c r="M29">
        <v>7</v>
      </c>
      <c r="N29">
        <v>7</v>
      </c>
      <c r="O29">
        <v>7</v>
      </c>
      <c r="P29">
        <v>7</v>
      </c>
      <c r="Q29">
        <v>7</v>
      </c>
      <c r="R29">
        <v>7</v>
      </c>
      <c r="S29">
        <v>7</v>
      </c>
      <c r="T29">
        <v>7</v>
      </c>
      <c r="V29">
        <v>5</v>
      </c>
      <c r="W29">
        <v>3</v>
      </c>
      <c r="X29">
        <v>7</v>
      </c>
      <c r="Y29">
        <v>7</v>
      </c>
      <c r="Z29">
        <v>7</v>
      </c>
      <c r="AA29">
        <v>7</v>
      </c>
      <c r="AB29">
        <v>7</v>
      </c>
      <c r="AC29">
        <v>7</v>
      </c>
      <c r="AD29">
        <v>7</v>
      </c>
      <c r="AE29">
        <v>7</v>
      </c>
      <c r="AF29">
        <v>7</v>
      </c>
      <c r="AG29">
        <v>7</v>
      </c>
      <c r="AH29">
        <v>7</v>
      </c>
      <c r="AI29">
        <v>7</v>
      </c>
      <c r="AJ29">
        <v>7</v>
      </c>
      <c r="AK29">
        <v>7</v>
      </c>
      <c r="AL29">
        <v>7</v>
      </c>
      <c r="AM29">
        <v>7</v>
      </c>
      <c r="AN29">
        <v>7</v>
      </c>
      <c r="AO29">
        <v>7</v>
      </c>
      <c r="AP29">
        <v>7</v>
      </c>
      <c r="AQ29">
        <v>7</v>
      </c>
      <c r="AR29">
        <v>7</v>
      </c>
      <c r="AS29">
        <v>7</v>
      </c>
      <c r="AT29">
        <v>7</v>
      </c>
    </row>
    <row r="30" spans="1:46" x14ac:dyDescent="0.25">
      <c r="A30" s="13" t="s">
        <v>151</v>
      </c>
      <c r="D30">
        <v>170</v>
      </c>
      <c r="E30">
        <v>170</v>
      </c>
      <c r="F30">
        <v>170</v>
      </c>
      <c r="G30">
        <v>170</v>
      </c>
      <c r="H30">
        <v>170</v>
      </c>
      <c r="I30">
        <v>170</v>
      </c>
      <c r="J30">
        <v>170</v>
      </c>
      <c r="K30">
        <v>170</v>
      </c>
      <c r="L30">
        <v>170</v>
      </c>
      <c r="M30">
        <v>170</v>
      </c>
      <c r="N30">
        <v>170</v>
      </c>
      <c r="O30">
        <v>170</v>
      </c>
      <c r="P30">
        <v>170</v>
      </c>
      <c r="Q30">
        <v>170</v>
      </c>
      <c r="R30">
        <v>170</v>
      </c>
      <c r="S30">
        <v>170</v>
      </c>
      <c r="T30">
        <v>170</v>
      </c>
      <c r="U30">
        <v>170</v>
      </c>
      <c r="V30">
        <v>170</v>
      </c>
      <c r="W30">
        <v>170</v>
      </c>
      <c r="X30">
        <v>170</v>
      </c>
      <c r="Y30">
        <v>170</v>
      </c>
      <c r="Z30">
        <v>170</v>
      </c>
      <c r="AA30">
        <v>170</v>
      </c>
      <c r="AB30">
        <v>170</v>
      </c>
      <c r="AC30">
        <v>170</v>
      </c>
      <c r="AD30">
        <v>170</v>
      </c>
      <c r="AE30">
        <v>170</v>
      </c>
      <c r="AF30">
        <v>170</v>
      </c>
      <c r="AG30">
        <v>170</v>
      </c>
      <c r="AH30">
        <v>170</v>
      </c>
      <c r="AI30">
        <v>170</v>
      </c>
      <c r="AJ30">
        <v>170</v>
      </c>
      <c r="AK30">
        <v>170</v>
      </c>
      <c r="AL30">
        <v>170</v>
      </c>
      <c r="AM30">
        <v>170</v>
      </c>
      <c r="AN30">
        <v>170</v>
      </c>
      <c r="AO30">
        <v>170</v>
      </c>
      <c r="AP30">
        <v>170</v>
      </c>
      <c r="AQ30">
        <v>170</v>
      </c>
      <c r="AR30">
        <v>170</v>
      </c>
      <c r="AS30">
        <v>170</v>
      </c>
      <c r="AT30">
        <v>170</v>
      </c>
    </row>
    <row r="31" spans="1:46" x14ac:dyDescent="0.25">
      <c r="A31" s="13"/>
    </row>
    <row r="32" spans="1:46" x14ac:dyDescent="0.25">
      <c r="A32" s="1" t="s">
        <v>143</v>
      </c>
    </row>
    <row r="33" spans="1:46" x14ac:dyDescent="0.25">
      <c r="A33" s="69" t="s">
        <v>177</v>
      </c>
    </row>
    <row r="34" spans="1:46" x14ac:dyDescent="0.25">
      <c r="A34">
        <v>1</v>
      </c>
      <c r="D34">
        <v>2.5</v>
      </c>
      <c r="E34">
        <v>2.5</v>
      </c>
      <c r="F34">
        <v>2.5</v>
      </c>
      <c r="G34">
        <v>2.5</v>
      </c>
      <c r="H34">
        <v>2.5</v>
      </c>
      <c r="I34">
        <v>2.5</v>
      </c>
      <c r="J34">
        <v>2.5</v>
      </c>
      <c r="K34">
        <v>2.5</v>
      </c>
      <c r="L34">
        <v>2.5</v>
      </c>
      <c r="M34">
        <v>2.5</v>
      </c>
      <c r="N34">
        <v>2.5</v>
      </c>
      <c r="O34">
        <v>2.5</v>
      </c>
      <c r="P34">
        <v>2.5</v>
      </c>
      <c r="Q34">
        <v>2.5</v>
      </c>
      <c r="R34">
        <v>2.5</v>
      </c>
      <c r="S34">
        <v>2.5</v>
      </c>
      <c r="T34">
        <v>2.5</v>
      </c>
      <c r="U34">
        <v>2.5</v>
      </c>
      <c r="V34">
        <v>2.5</v>
      </c>
      <c r="W34">
        <v>2.5</v>
      </c>
      <c r="X34">
        <v>2.5</v>
      </c>
      <c r="Y34">
        <v>2.5</v>
      </c>
      <c r="Z34">
        <v>2.5</v>
      </c>
      <c r="AA34">
        <v>2.5</v>
      </c>
      <c r="AB34">
        <v>2.5</v>
      </c>
      <c r="AC34">
        <v>2.5</v>
      </c>
      <c r="AD34">
        <v>2.5</v>
      </c>
      <c r="AE34">
        <v>2.5</v>
      </c>
      <c r="AF34">
        <v>2.5</v>
      </c>
      <c r="AG34">
        <v>2.5</v>
      </c>
      <c r="AH34">
        <v>2.5</v>
      </c>
      <c r="AI34">
        <v>2.5</v>
      </c>
      <c r="AJ34">
        <v>2.5</v>
      </c>
      <c r="AK34">
        <v>2.5</v>
      </c>
      <c r="AL34">
        <v>2.5</v>
      </c>
      <c r="AM34">
        <v>2.5</v>
      </c>
      <c r="AN34">
        <v>2.5</v>
      </c>
      <c r="AO34">
        <v>2.5</v>
      </c>
      <c r="AP34">
        <v>2.5</v>
      </c>
      <c r="AQ34">
        <v>2.5</v>
      </c>
      <c r="AR34">
        <v>2.5</v>
      </c>
      <c r="AS34">
        <v>2.5</v>
      </c>
      <c r="AT34">
        <v>2.5</v>
      </c>
    </row>
    <row r="35" spans="1:46" x14ac:dyDescent="0.25">
      <c r="A35">
        <v>2</v>
      </c>
      <c r="D35">
        <v>2.7</v>
      </c>
      <c r="E35">
        <v>2.7</v>
      </c>
      <c r="F35">
        <v>2.7</v>
      </c>
      <c r="G35">
        <v>2.7</v>
      </c>
      <c r="H35">
        <v>2.7</v>
      </c>
      <c r="I35">
        <v>2.7</v>
      </c>
      <c r="J35">
        <v>2.7</v>
      </c>
      <c r="K35">
        <v>2.7</v>
      </c>
      <c r="L35">
        <v>2.7</v>
      </c>
      <c r="M35">
        <v>2.7</v>
      </c>
      <c r="N35">
        <v>2.7</v>
      </c>
      <c r="O35">
        <v>2.7</v>
      </c>
      <c r="P35">
        <v>2.7</v>
      </c>
      <c r="Q35">
        <v>2.7</v>
      </c>
      <c r="R35">
        <v>2.7</v>
      </c>
      <c r="S35">
        <v>2.35</v>
      </c>
      <c r="T35">
        <v>2.7</v>
      </c>
      <c r="U35">
        <v>2.7</v>
      </c>
      <c r="V35">
        <v>2.7</v>
      </c>
      <c r="W35">
        <v>2.7</v>
      </c>
      <c r="X35">
        <v>2.7</v>
      </c>
      <c r="Y35">
        <v>2.7</v>
      </c>
      <c r="Z35">
        <v>2.7</v>
      </c>
      <c r="AA35">
        <v>2.7</v>
      </c>
      <c r="AB35">
        <v>2.7</v>
      </c>
      <c r="AC35">
        <v>2.7</v>
      </c>
      <c r="AD35">
        <v>2.7</v>
      </c>
      <c r="AE35">
        <v>2.7</v>
      </c>
      <c r="AF35">
        <v>2.7</v>
      </c>
      <c r="AG35">
        <v>2.2000000000000002</v>
      </c>
      <c r="AH35">
        <v>2.4500000000000002</v>
      </c>
      <c r="AI35">
        <v>2.4500000000000002</v>
      </c>
      <c r="AJ35">
        <v>2.7</v>
      </c>
      <c r="AK35">
        <v>2.7</v>
      </c>
      <c r="AL35">
        <v>2.7</v>
      </c>
      <c r="AM35">
        <v>2.7</v>
      </c>
      <c r="AN35">
        <v>2.7</v>
      </c>
      <c r="AO35">
        <v>2.7</v>
      </c>
      <c r="AP35">
        <v>2.4500000000000002</v>
      </c>
      <c r="AQ35">
        <v>2.4500000000000002</v>
      </c>
      <c r="AR35">
        <v>2.95</v>
      </c>
      <c r="AS35">
        <v>2.7</v>
      </c>
      <c r="AT35">
        <v>2.7</v>
      </c>
    </row>
    <row r="36" spans="1:46" x14ac:dyDescent="0.25">
      <c r="A36" s="55" t="s">
        <v>153</v>
      </c>
      <c r="D36">
        <v>5.4180000000000001</v>
      </c>
      <c r="E36">
        <v>5.4180000000000001</v>
      </c>
      <c r="F36">
        <v>5.4180000000000001</v>
      </c>
      <c r="G36">
        <v>5.4180000000000001</v>
      </c>
      <c r="H36">
        <v>5.4180000000000001</v>
      </c>
      <c r="I36">
        <v>5.4180000000000001</v>
      </c>
      <c r="J36">
        <v>5.4180000000000001</v>
      </c>
      <c r="K36">
        <v>5.4180000000000001</v>
      </c>
      <c r="L36">
        <v>5.4180000000000001</v>
      </c>
      <c r="M36">
        <v>5.4180000000000001</v>
      </c>
      <c r="N36">
        <v>5.4180000000000001</v>
      </c>
      <c r="O36">
        <v>5.4180000000000001</v>
      </c>
      <c r="P36">
        <v>5.4180000000000001</v>
      </c>
      <c r="Q36">
        <v>5.4279999999999999</v>
      </c>
      <c r="R36">
        <v>5.4279999999999999</v>
      </c>
      <c r="S36">
        <v>5.4279999999999999</v>
      </c>
      <c r="T36" s="74">
        <v>5.4279999999999999</v>
      </c>
      <c r="U36" s="74">
        <v>5.4279999999999999</v>
      </c>
      <c r="V36" s="74">
        <v>5.4279999999999999</v>
      </c>
      <c r="W36" s="74">
        <v>5.4279999999999999</v>
      </c>
      <c r="X36" s="74">
        <v>5.4279999999999999</v>
      </c>
      <c r="Y36" s="74">
        <v>5.4279999999999999</v>
      </c>
      <c r="Z36" s="74">
        <v>5.4279999999999999</v>
      </c>
      <c r="AA36" s="74">
        <v>5.4279999999999999</v>
      </c>
      <c r="AB36" s="74">
        <v>5.4279999999999999</v>
      </c>
      <c r="AC36">
        <v>5.4480000000000004</v>
      </c>
      <c r="AD36">
        <v>5.3979999999999997</v>
      </c>
      <c r="AE36">
        <v>5.4180000000000001</v>
      </c>
      <c r="AF36">
        <v>5.4180000000000001</v>
      </c>
      <c r="AG36">
        <v>5.4180000000000001</v>
      </c>
      <c r="AH36">
        <v>5.4180000000000001</v>
      </c>
      <c r="AI36">
        <v>5.4180000000000001</v>
      </c>
      <c r="AJ36">
        <v>5.4180000000000001</v>
      </c>
      <c r="AK36">
        <v>5.4180000000000001</v>
      </c>
      <c r="AL36">
        <v>5.4180000000000001</v>
      </c>
      <c r="AM36">
        <v>5.4180000000000001</v>
      </c>
      <c r="AN36">
        <v>5.4180000000000001</v>
      </c>
      <c r="AO36">
        <v>5.4180000000000001</v>
      </c>
      <c r="AP36">
        <v>5.4080000000000004</v>
      </c>
      <c r="AQ36">
        <v>5.4080000000000004</v>
      </c>
      <c r="AR36">
        <v>5.4080000000000004</v>
      </c>
      <c r="AS36">
        <v>5.4180000000000001</v>
      </c>
      <c r="AT36">
        <v>5.4180000000000001</v>
      </c>
    </row>
    <row r="37" spans="1:46" x14ac:dyDescent="0.25">
      <c r="A37" s="13">
        <v>4</v>
      </c>
      <c r="D37">
        <v>20</v>
      </c>
      <c r="E37">
        <v>20</v>
      </c>
      <c r="F37">
        <v>20</v>
      </c>
      <c r="G37">
        <v>20</v>
      </c>
      <c r="H37">
        <v>20</v>
      </c>
      <c r="I37">
        <v>20</v>
      </c>
      <c r="J37">
        <v>20</v>
      </c>
      <c r="K37">
        <v>20</v>
      </c>
      <c r="L37">
        <v>20</v>
      </c>
      <c r="M37">
        <v>20</v>
      </c>
      <c r="N37">
        <v>20</v>
      </c>
      <c r="O37">
        <v>20</v>
      </c>
      <c r="P37">
        <v>20</v>
      </c>
      <c r="Q37">
        <v>20</v>
      </c>
      <c r="R37">
        <v>20</v>
      </c>
      <c r="S37">
        <v>20</v>
      </c>
      <c r="T37">
        <v>20</v>
      </c>
      <c r="U37">
        <v>20</v>
      </c>
      <c r="V37">
        <v>20</v>
      </c>
      <c r="W37">
        <v>20</v>
      </c>
      <c r="X37">
        <v>20</v>
      </c>
      <c r="Y37">
        <v>20</v>
      </c>
      <c r="Z37">
        <v>20</v>
      </c>
      <c r="AA37">
        <v>20</v>
      </c>
      <c r="AB37">
        <v>20</v>
      </c>
      <c r="AC37">
        <v>20</v>
      </c>
      <c r="AD37">
        <v>20</v>
      </c>
      <c r="AE37">
        <v>20</v>
      </c>
      <c r="AF37">
        <v>20</v>
      </c>
      <c r="AG37">
        <v>20</v>
      </c>
      <c r="AH37">
        <v>20</v>
      </c>
      <c r="AI37">
        <v>20</v>
      </c>
      <c r="AJ37">
        <v>20</v>
      </c>
      <c r="AK37">
        <v>20</v>
      </c>
      <c r="AL37">
        <v>20</v>
      </c>
      <c r="AM37">
        <v>20</v>
      </c>
      <c r="AN37">
        <v>20</v>
      </c>
      <c r="AO37">
        <v>20</v>
      </c>
      <c r="AP37">
        <v>20</v>
      </c>
      <c r="AQ37">
        <v>20</v>
      </c>
      <c r="AR37">
        <v>20</v>
      </c>
      <c r="AS37">
        <v>20</v>
      </c>
      <c r="AT37">
        <v>20</v>
      </c>
    </row>
    <row r="38" spans="1:46" x14ac:dyDescent="0.25">
      <c r="A38" s="55" t="s">
        <v>154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5.0999999999999996</v>
      </c>
      <c r="AN38">
        <v>5.3</v>
      </c>
      <c r="AO38">
        <v>5.3</v>
      </c>
      <c r="AP38">
        <v>5.3</v>
      </c>
      <c r="AQ38">
        <v>5.3</v>
      </c>
      <c r="AR38">
        <v>5.3</v>
      </c>
      <c r="AS38">
        <v>5</v>
      </c>
      <c r="AT38">
        <v>5</v>
      </c>
    </row>
    <row r="39" spans="1:46" x14ac:dyDescent="0.25">
      <c r="A39">
        <v>6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</row>
    <row r="40" spans="1:46" x14ac:dyDescent="0.25">
      <c r="A40" s="69" t="s">
        <v>178</v>
      </c>
    </row>
    <row r="41" spans="1:46" x14ac:dyDescent="0.25">
      <c r="A41">
        <v>1</v>
      </c>
      <c r="D41">
        <v>14.78</v>
      </c>
      <c r="E41">
        <v>14.78</v>
      </c>
      <c r="F41">
        <v>14.78</v>
      </c>
      <c r="G41">
        <v>14.78</v>
      </c>
      <c r="H41">
        <v>14.78</v>
      </c>
      <c r="I41">
        <v>14.78</v>
      </c>
      <c r="J41">
        <v>14.78</v>
      </c>
      <c r="K41">
        <v>14.78</v>
      </c>
      <c r="L41">
        <v>14.78</v>
      </c>
      <c r="M41">
        <v>14.78</v>
      </c>
      <c r="N41">
        <v>14.78</v>
      </c>
      <c r="O41">
        <v>14.78</v>
      </c>
      <c r="P41">
        <v>14.78</v>
      </c>
      <c r="Q41">
        <v>14.78</v>
      </c>
      <c r="R41">
        <v>14.78</v>
      </c>
      <c r="S41">
        <v>14.78</v>
      </c>
      <c r="T41">
        <v>14.78</v>
      </c>
      <c r="U41">
        <v>14.78</v>
      </c>
      <c r="V41">
        <v>14.78</v>
      </c>
      <c r="W41">
        <v>14.78</v>
      </c>
      <c r="X41">
        <v>14.78</v>
      </c>
      <c r="Y41">
        <v>14.78</v>
      </c>
      <c r="Z41">
        <v>14.78</v>
      </c>
      <c r="AA41">
        <v>14.78</v>
      </c>
      <c r="AB41">
        <v>14.78</v>
      </c>
      <c r="AC41">
        <v>14.78</v>
      </c>
      <c r="AD41">
        <v>14.78</v>
      </c>
      <c r="AE41">
        <v>14.78</v>
      </c>
      <c r="AF41">
        <v>14.78</v>
      </c>
      <c r="AG41">
        <v>14.78</v>
      </c>
      <c r="AH41">
        <v>14.78</v>
      </c>
      <c r="AI41">
        <v>14.78</v>
      </c>
      <c r="AJ41">
        <v>14.78</v>
      </c>
      <c r="AK41">
        <v>14.78</v>
      </c>
      <c r="AL41">
        <v>14.78</v>
      </c>
      <c r="AM41">
        <v>14.78</v>
      </c>
      <c r="AN41">
        <v>14.78</v>
      </c>
      <c r="AO41">
        <v>14.78</v>
      </c>
      <c r="AP41">
        <v>14.78</v>
      </c>
      <c r="AQ41">
        <v>14.78</v>
      </c>
      <c r="AR41">
        <v>14.78</v>
      </c>
      <c r="AS41">
        <v>14.78</v>
      </c>
      <c r="AT41">
        <v>14.78</v>
      </c>
    </row>
    <row r="42" spans="1:46" x14ac:dyDescent="0.25">
      <c r="A42">
        <v>2</v>
      </c>
      <c r="D42">
        <v>3.51</v>
      </c>
      <c r="E42">
        <v>3.51</v>
      </c>
      <c r="F42">
        <v>3.51</v>
      </c>
      <c r="G42">
        <v>3.51</v>
      </c>
      <c r="H42">
        <v>3.51</v>
      </c>
      <c r="I42">
        <v>3.51</v>
      </c>
      <c r="J42">
        <v>3.51</v>
      </c>
      <c r="K42">
        <v>3.51</v>
      </c>
      <c r="L42">
        <v>3.51</v>
      </c>
      <c r="M42">
        <v>3.51</v>
      </c>
      <c r="N42">
        <v>3.51</v>
      </c>
      <c r="O42">
        <v>3.51</v>
      </c>
      <c r="P42">
        <v>3.51</v>
      </c>
      <c r="Q42">
        <v>3.51</v>
      </c>
      <c r="R42">
        <v>3.6749999999999998</v>
      </c>
      <c r="S42">
        <v>3.53</v>
      </c>
      <c r="T42">
        <v>3.53</v>
      </c>
      <c r="U42">
        <v>3.53</v>
      </c>
      <c r="V42">
        <v>3.53</v>
      </c>
      <c r="W42">
        <v>3.53</v>
      </c>
      <c r="X42">
        <v>3.53</v>
      </c>
      <c r="Y42">
        <v>3.53</v>
      </c>
      <c r="Z42">
        <v>3.53</v>
      </c>
      <c r="AA42">
        <v>3.53</v>
      </c>
      <c r="AB42">
        <v>3.53</v>
      </c>
      <c r="AC42">
        <v>3.53</v>
      </c>
      <c r="AD42">
        <v>3.53</v>
      </c>
      <c r="AE42">
        <v>3.53</v>
      </c>
      <c r="AF42">
        <v>3.53</v>
      </c>
      <c r="AG42">
        <v>3.53</v>
      </c>
      <c r="AH42">
        <v>3.53</v>
      </c>
      <c r="AI42">
        <v>3.53</v>
      </c>
      <c r="AJ42">
        <v>3.28</v>
      </c>
      <c r="AK42">
        <v>3.03</v>
      </c>
      <c r="AL42">
        <v>3.78</v>
      </c>
      <c r="AM42">
        <v>3.53</v>
      </c>
      <c r="AN42">
        <v>3.53</v>
      </c>
      <c r="AO42">
        <v>3.53</v>
      </c>
      <c r="AP42">
        <v>3.78</v>
      </c>
      <c r="AQ42">
        <v>3.28</v>
      </c>
      <c r="AR42">
        <v>3.53</v>
      </c>
      <c r="AS42">
        <v>3.53</v>
      </c>
      <c r="AT42">
        <v>3.53</v>
      </c>
    </row>
    <row r="43" spans="1:46" x14ac:dyDescent="0.25">
      <c r="A43" s="55" t="s">
        <v>155</v>
      </c>
      <c r="D43">
        <v>6.0149999999999997</v>
      </c>
      <c r="E43">
        <v>6.0149999999999997</v>
      </c>
      <c r="F43">
        <v>6.0149999999999997</v>
      </c>
      <c r="G43">
        <v>6.0149999999999997</v>
      </c>
      <c r="H43">
        <v>6.0149999999999997</v>
      </c>
      <c r="I43">
        <v>6.0149999999999997</v>
      </c>
      <c r="J43">
        <v>6.0149999999999997</v>
      </c>
      <c r="K43">
        <v>6.0149999999999997</v>
      </c>
      <c r="L43">
        <v>6.0149999999999997</v>
      </c>
      <c r="M43">
        <v>6.0149999999999997</v>
      </c>
      <c r="N43">
        <v>6.0350000000000001</v>
      </c>
      <c r="O43">
        <v>6.0350000000000001</v>
      </c>
      <c r="P43">
        <v>6.0049999999999999</v>
      </c>
      <c r="Q43">
        <v>6.0049999999999999</v>
      </c>
      <c r="R43">
        <v>6.0049999999999999</v>
      </c>
      <c r="S43">
        <v>6.0049999999999999</v>
      </c>
      <c r="T43">
        <v>6.0049999999999999</v>
      </c>
      <c r="U43">
        <v>6.0049999999999999</v>
      </c>
      <c r="V43">
        <v>6.0049999999999999</v>
      </c>
      <c r="W43">
        <v>6.0049999999999999</v>
      </c>
      <c r="X43">
        <v>6.0049999999999999</v>
      </c>
      <c r="Y43">
        <v>6.0049999999999999</v>
      </c>
      <c r="Z43">
        <v>6.0049999999999999</v>
      </c>
      <c r="AA43">
        <v>6.0049999999999999</v>
      </c>
      <c r="AB43">
        <v>6.0049999999999999</v>
      </c>
      <c r="AC43">
        <v>6.0049999999999999</v>
      </c>
      <c r="AD43">
        <v>6.0049999999999999</v>
      </c>
      <c r="AE43">
        <v>6.0129999999999999</v>
      </c>
      <c r="AF43">
        <v>5.9930000000000003</v>
      </c>
      <c r="AG43">
        <v>5.9930000000000003</v>
      </c>
      <c r="AH43">
        <v>5.9930000000000003</v>
      </c>
      <c r="AI43">
        <v>6.0049999999999999</v>
      </c>
      <c r="AJ43">
        <v>6.0010000000000003</v>
      </c>
      <c r="AK43">
        <v>6.0010000000000003</v>
      </c>
      <c r="AL43">
        <v>6.0010000000000003</v>
      </c>
      <c r="AM43">
        <v>6.0010000000000003</v>
      </c>
      <c r="AN43">
        <v>6.0010000000000003</v>
      </c>
      <c r="AO43">
        <v>6.0010000000000003</v>
      </c>
      <c r="AP43">
        <v>5.9870000000000001</v>
      </c>
      <c r="AQ43">
        <v>5.9569999999999999</v>
      </c>
      <c r="AR43">
        <v>6.0069999999999997</v>
      </c>
      <c r="AS43">
        <v>6.0010000000000003</v>
      </c>
      <c r="AT43">
        <v>6.0010000000000003</v>
      </c>
    </row>
    <row r="44" spans="1:46" x14ac:dyDescent="0.25">
      <c r="A44" s="13">
        <v>4</v>
      </c>
      <c r="D44">
        <v>6.05</v>
      </c>
      <c r="E44">
        <v>6.05</v>
      </c>
      <c r="F44">
        <v>6.05</v>
      </c>
      <c r="G44">
        <v>6.05</v>
      </c>
      <c r="H44">
        <v>6.05</v>
      </c>
      <c r="I44">
        <v>6.05</v>
      </c>
      <c r="J44">
        <v>6.05</v>
      </c>
      <c r="K44">
        <v>6.05</v>
      </c>
      <c r="L44">
        <v>6.05</v>
      </c>
      <c r="M44">
        <v>6.05</v>
      </c>
      <c r="N44">
        <v>6.05</v>
      </c>
      <c r="O44">
        <v>6.05</v>
      </c>
      <c r="P44">
        <v>6.05</v>
      </c>
      <c r="Q44">
        <v>6.05</v>
      </c>
      <c r="R44">
        <v>6.05</v>
      </c>
      <c r="S44">
        <v>6.05</v>
      </c>
      <c r="T44">
        <v>6.05</v>
      </c>
      <c r="U44">
        <v>6.05</v>
      </c>
      <c r="V44">
        <v>6.05</v>
      </c>
      <c r="W44">
        <v>6.05</v>
      </c>
      <c r="X44">
        <v>6.05</v>
      </c>
      <c r="Y44">
        <v>6.05</v>
      </c>
      <c r="Z44">
        <v>6.05</v>
      </c>
      <c r="AA44">
        <v>6.05</v>
      </c>
      <c r="AB44">
        <v>6.05</v>
      </c>
      <c r="AC44">
        <v>6.05</v>
      </c>
      <c r="AD44">
        <v>6.05</v>
      </c>
      <c r="AE44">
        <v>6.05</v>
      </c>
      <c r="AF44">
        <v>6.05</v>
      </c>
      <c r="AG44">
        <v>6.05</v>
      </c>
      <c r="AH44">
        <v>6.05</v>
      </c>
      <c r="AI44">
        <v>6.05</v>
      </c>
      <c r="AJ44">
        <v>6.05</v>
      </c>
      <c r="AK44">
        <v>6.05</v>
      </c>
      <c r="AL44">
        <v>6.05</v>
      </c>
      <c r="AM44">
        <v>6.05</v>
      </c>
      <c r="AN44">
        <v>6.05</v>
      </c>
      <c r="AO44">
        <v>6.05</v>
      </c>
      <c r="AP44">
        <v>6.05</v>
      </c>
      <c r="AQ44">
        <v>6.05</v>
      </c>
      <c r="AR44">
        <v>6.05</v>
      </c>
      <c r="AS44">
        <v>6.05</v>
      </c>
      <c r="AT44">
        <v>6.05</v>
      </c>
    </row>
    <row r="45" spans="1:46" x14ac:dyDescent="0.25">
      <c r="A45" s="55" t="s">
        <v>156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5.3</v>
      </c>
      <c r="AP45">
        <v>5</v>
      </c>
      <c r="AQ45">
        <v>5</v>
      </c>
      <c r="AR45">
        <v>5</v>
      </c>
      <c r="AS45">
        <v>5</v>
      </c>
      <c r="AT45">
        <v>5</v>
      </c>
    </row>
    <row r="46" spans="1:46" x14ac:dyDescent="0.25">
      <c r="A46">
        <v>6</v>
      </c>
      <c r="D46">
        <v>5.5</v>
      </c>
      <c r="E46">
        <v>5.5</v>
      </c>
      <c r="F46">
        <v>5.5</v>
      </c>
      <c r="G46">
        <v>5.5</v>
      </c>
      <c r="H46">
        <v>5.5</v>
      </c>
      <c r="I46">
        <v>5.5</v>
      </c>
      <c r="J46">
        <v>5.5</v>
      </c>
      <c r="K46">
        <v>5.5</v>
      </c>
      <c r="L46">
        <v>5.5</v>
      </c>
      <c r="M46">
        <v>5.5</v>
      </c>
      <c r="N46">
        <v>5.5</v>
      </c>
      <c r="O46">
        <v>5.5</v>
      </c>
      <c r="P46">
        <v>5.5</v>
      </c>
      <c r="Q46">
        <v>5.5</v>
      </c>
      <c r="R46">
        <v>5.5</v>
      </c>
      <c r="S46">
        <v>5.5</v>
      </c>
      <c r="T46">
        <v>5.5</v>
      </c>
      <c r="U46">
        <v>5.5</v>
      </c>
      <c r="V46">
        <v>5.5</v>
      </c>
      <c r="W46">
        <v>5.5</v>
      </c>
      <c r="X46">
        <v>5.5</v>
      </c>
      <c r="Y46">
        <v>5.5</v>
      </c>
      <c r="Z46">
        <v>5.5</v>
      </c>
      <c r="AA46">
        <v>5.5</v>
      </c>
      <c r="AB46">
        <v>5.5</v>
      </c>
      <c r="AC46">
        <v>5.5</v>
      </c>
      <c r="AD46">
        <v>5.5</v>
      </c>
      <c r="AE46">
        <v>5.5</v>
      </c>
      <c r="AF46">
        <v>5.5</v>
      </c>
      <c r="AG46">
        <v>5.5</v>
      </c>
      <c r="AH46">
        <v>5.5</v>
      </c>
      <c r="AI46">
        <v>5.5</v>
      </c>
      <c r="AJ46">
        <v>5.5</v>
      </c>
      <c r="AK46">
        <v>5.5</v>
      </c>
      <c r="AL46">
        <v>5.5</v>
      </c>
      <c r="AM46">
        <v>5.5</v>
      </c>
      <c r="AN46">
        <v>5.5</v>
      </c>
      <c r="AO46">
        <v>5.5</v>
      </c>
      <c r="AP46">
        <v>5.5</v>
      </c>
      <c r="AQ46">
        <v>5.5</v>
      </c>
      <c r="AR46">
        <v>5.5</v>
      </c>
      <c r="AS46">
        <v>5.5</v>
      </c>
      <c r="AT46">
        <v>5.5</v>
      </c>
    </row>
    <row r="48" spans="1:46" x14ac:dyDescent="0.25">
      <c r="A48" s="1" t="s">
        <v>147</v>
      </c>
    </row>
    <row r="49" spans="1:46" x14ac:dyDescent="0.25">
      <c r="A49" s="13" t="s">
        <v>175</v>
      </c>
      <c r="D49">
        <v>-1.7767999999999999</v>
      </c>
      <c r="E49">
        <v>-1.7767999999999999</v>
      </c>
      <c r="F49">
        <v>-1.7767999999999999</v>
      </c>
      <c r="G49">
        <v>-1.7767999999999999</v>
      </c>
      <c r="H49">
        <v>-1.7767999999999999</v>
      </c>
      <c r="I49">
        <v>-1.7767999999999999</v>
      </c>
      <c r="J49">
        <v>-1.7767999999999999</v>
      </c>
      <c r="K49">
        <v>-1.7767999999999999</v>
      </c>
      <c r="L49">
        <v>-1.7767999999999999</v>
      </c>
      <c r="M49">
        <v>-1.7767999999999999</v>
      </c>
      <c r="N49">
        <v>-1.7767999999999999</v>
      </c>
      <c r="O49">
        <v>-1.7767999999999999</v>
      </c>
      <c r="P49">
        <v>-1.7767999999999999</v>
      </c>
      <c r="Q49">
        <v>-2.0230000000000001</v>
      </c>
      <c r="R49">
        <v>-2.0230000000000001</v>
      </c>
      <c r="S49">
        <v>-2.0230000000000001</v>
      </c>
      <c r="T49">
        <v>-2.0169999999999999</v>
      </c>
      <c r="U49">
        <v>-2.0169999999999999</v>
      </c>
      <c r="V49">
        <v>-2.0169999999999999</v>
      </c>
      <c r="W49">
        <v>-2.0169999999999999</v>
      </c>
      <c r="X49">
        <v>-2.0169999999999999</v>
      </c>
      <c r="Y49">
        <v>-2.0169999999999999</v>
      </c>
      <c r="Z49">
        <v>-2.0169999999999999</v>
      </c>
      <c r="AA49">
        <v>-2.0169999999999999</v>
      </c>
      <c r="AB49">
        <v>-2.0169999999999999</v>
      </c>
      <c r="AC49">
        <v>-2.0169999999999999</v>
      </c>
      <c r="AD49">
        <v>-2.0169999999999999</v>
      </c>
      <c r="AE49">
        <v>-2.0169999999999999</v>
      </c>
      <c r="AF49">
        <v>-2.0169999999999999</v>
      </c>
      <c r="AG49">
        <v>-2.0169999999999999</v>
      </c>
      <c r="AH49">
        <v>-2.0169999999999999</v>
      </c>
      <c r="AI49">
        <v>-2.0169999999999999</v>
      </c>
      <c r="AJ49">
        <v>-2.0169999999999999</v>
      </c>
      <c r="AK49">
        <v>-2.0169999999999999</v>
      </c>
      <c r="AL49">
        <v>-2.0169999999999999</v>
      </c>
      <c r="AM49">
        <v>-2.0169999999999999</v>
      </c>
      <c r="AN49">
        <v>-2.0169999999999999</v>
      </c>
      <c r="AO49">
        <v>-2.0169999999999999</v>
      </c>
      <c r="AP49">
        <v>-2.0169999999999999</v>
      </c>
      <c r="AQ49">
        <v>-2.0169999999999999</v>
      </c>
      <c r="AR49">
        <v>-2.0169999999999999</v>
      </c>
      <c r="AS49">
        <v>-1.9450000000000001</v>
      </c>
      <c r="AT49">
        <v>-1.9450000000000001</v>
      </c>
    </row>
    <row r="50" spans="1:46" x14ac:dyDescent="0.25">
      <c r="A50" s="13" t="s">
        <v>176</v>
      </c>
      <c r="D50">
        <v>-0.51900000000000002</v>
      </c>
      <c r="E50">
        <v>-0.51900000000000002</v>
      </c>
      <c r="F50">
        <v>-0.51900000000000002</v>
      </c>
      <c r="G50">
        <v>-0.51900000000000002</v>
      </c>
      <c r="H50">
        <v>-0.51900000000000002</v>
      </c>
      <c r="I50">
        <v>-0.51900000000000002</v>
      </c>
      <c r="J50">
        <v>-0.51900000000000002</v>
      </c>
      <c r="K50">
        <v>-0.51900000000000002</v>
      </c>
      <c r="L50">
        <v>-0.51900000000000002</v>
      </c>
      <c r="M50">
        <v>-0.51900000000000002</v>
      </c>
      <c r="N50">
        <v>-0.51900000000000002</v>
      </c>
      <c r="O50">
        <v>-0.51900000000000002</v>
      </c>
      <c r="P50">
        <v>-0.51900000000000002</v>
      </c>
      <c r="Q50">
        <v>-0.51900000000000002</v>
      </c>
      <c r="R50">
        <v>-0.51900000000000002</v>
      </c>
      <c r="S50">
        <v>-0.51900000000000002</v>
      </c>
      <c r="T50">
        <v>-0.63700000000000001</v>
      </c>
      <c r="U50">
        <v>-0.63700000000000001</v>
      </c>
      <c r="V50">
        <v>-0.63700000000000001</v>
      </c>
      <c r="W50">
        <v>-0.63700000000000001</v>
      </c>
      <c r="X50">
        <v>-0.63700000000000001</v>
      </c>
      <c r="Y50">
        <v>-0.63700000000000001</v>
      </c>
      <c r="Z50">
        <v>-0.63700000000000001</v>
      </c>
      <c r="AA50">
        <v>-0.63700000000000001</v>
      </c>
      <c r="AB50">
        <v>-0.63700000000000001</v>
      </c>
      <c r="AC50">
        <v>-0.63700000000000001</v>
      </c>
      <c r="AD50">
        <v>-0.63700000000000001</v>
      </c>
      <c r="AE50">
        <v>-0.63700000000000001</v>
      </c>
      <c r="AF50">
        <v>-0.63700000000000001</v>
      </c>
      <c r="AG50">
        <v>-0.48599999999999999</v>
      </c>
      <c r="AH50">
        <v>-0.48599999999999999</v>
      </c>
      <c r="AI50">
        <v>-0.48599999999999999</v>
      </c>
      <c r="AJ50">
        <v>-0.48599999999999999</v>
      </c>
      <c r="AK50">
        <v>-0.48599999999999999</v>
      </c>
      <c r="AL50">
        <v>-0.48599999999999999</v>
      </c>
      <c r="AM50">
        <v>-0.48599999999999999</v>
      </c>
      <c r="AN50">
        <v>-0.48599999999999999</v>
      </c>
      <c r="AO50">
        <v>-0.48599999999999999</v>
      </c>
      <c r="AP50">
        <v>-0.48599999999999999</v>
      </c>
      <c r="AQ50">
        <v>-0.48599999999999999</v>
      </c>
      <c r="AR50">
        <v>-0.48599999999999999</v>
      </c>
      <c r="AS50">
        <v>-0.67300000000000004</v>
      </c>
      <c r="AT50">
        <v>-0.67300000000000004</v>
      </c>
    </row>
    <row r="51" spans="1:46" x14ac:dyDescent="0.25">
      <c r="A51" s="13" t="s">
        <v>179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4" spans="1:46" x14ac:dyDescent="0.25">
      <c r="A54" s="1" t="s">
        <v>227</v>
      </c>
    </row>
    <row r="55" spans="1:46" x14ac:dyDescent="0.25">
      <c r="A55" s="59" t="s">
        <v>13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46" x14ac:dyDescent="0.25">
      <c r="A56" s="71" t="s">
        <v>14</v>
      </c>
      <c r="D56">
        <v>-1.5</v>
      </c>
      <c r="E56">
        <v>-1.5</v>
      </c>
      <c r="F56">
        <v>-1.5</v>
      </c>
      <c r="G56">
        <v>-1.5</v>
      </c>
      <c r="H56">
        <v>-1.5</v>
      </c>
      <c r="I56">
        <v>-1.5</v>
      </c>
      <c r="J56">
        <v>-1.5</v>
      </c>
      <c r="K56">
        <v>-1.5</v>
      </c>
      <c r="L56">
        <v>-1.5</v>
      </c>
      <c r="M56">
        <v>-1.5</v>
      </c>
      <c r="N56">
        <v>-1.5</v>
      </c>
      <c r="O56">
        <v>-1.5</v>
      </c>
      <c r="P56">
        <v>-1.5</v>
      </c>
      <c r="Q56">
        <v>-1.5</v>
      </c>
      <c r="R56">
        <v>-1.5</v>
      </c>
      <c r="S56">
        <v>-1.65</v>
      </c>
      <c r="T56">
        <v>-1.5</v>
      </c>
      <c r="U56">
        <v>-1.5</v>
      </c>
      <c r="V56">
        <v>-1.5</v>
      </c>
      <c r="W56">
        <v>-1.5</v>
      </c>
      <c r="X56">
        <v>-1.5</v>
      </c>
      <c r="Y56">
        <v>-1.5</v>
      </c>
      <c r="Z56">
        <v>-1.5</v>
      </c>
      <c r="AA56">
        <v>-1.5</v>
      </c>
      <c r="AB56">
        <v>-1.5</v>
      </c>
      <c r="AC56">
        <v>-1.5</v>
      </c>
      <c r="AD56">
        <v>-1.5</v>
      </c>
      <c r="AE56">
        <v>-1.5</v>
      </c>
      <c r="AF56">
        <v>-1.5</v>
      </c>
      <c r="AG56">
        <v>-1.5</v>
      </c>
      <c r="AH56">
        <v>-1.5</v>
      </c>
      <c r="AI56">
        <v>-1.5</v>
      </c>
      <c r="AJ56">
        <v>-1.5</v>
      </c>
      <c r="AK56">
        <v>-1.5</v>
      </c>
      <c r="AL56">
        <v>-1.5</v>
      </c>
      <c r="AM56">
        <v>-1.5</v>
      </c>
      <c r="AN56">
        <v>-1.5</v>
      </c>
      <c r="AO56">
        <v>-1.5</v>
      </c>
      <c r="AP56">
        <v>-1.5</v>
      </c>
      <c r="AQ56">
        <v>-1.5</v>
      </c>
      <c r="AR56">
        <v>-1.5</v>
      </c>
      <c r="AS56">
        <v>-1.5</v>
      </c>
      <c r="AT56">
        <v>-1.5</v>
      </c>
    </row>
    <row r="57" spans="1:46" x14ac:dyDescent="0.25">
      <c r="A57" s="59" t="s">
        <v>15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 x14ac:dyDescent="0.25">
      <c r="A58" s="59" t="s">
        <v>16</v>
      </c>
      <c r="D58">
        <v>-1.038095238095238</v>
      </c>
      <c r="E58">
        <v>-1.038095238095238</v>
      </c>
      <c r="F58">
        <v>-1.038095238095238</v>
      </c>
      <c r="G58">
        <v>-1.038095238095238</v>
      </c>
      <c r="H58">
        <v>-1.038095238095238</v>
      </c>
      <c r="I58">
        <v>-1.038095238095238</v>
      </c>
      <c r="J58">
        <v>-1.038095238095238</v>
      </c>
      <c r="K58">
        <v>-1.038095238095238</v>
      </c>
      <c r="L58">
        <v>-1.038095238095238</v>
      </c>
      <c r="M58">
        <v>-1.038095238095238</v>
      </c>
      <c r="N58">
        <v>-1.038095238095238</v>
      </c>
      <c r="O58">
        <v>-1.038095238095238</v>
      </c>
      <c r="P58">
        <v>-1.038095238095238</v>
      </c>
      <c r="Q58">
        <v>-1.0857142857142854</v>
      </c>
      <c r="R58">
        <v>-1.0857142857142854</v>
      </c>
      <c r="S58">
        <v>-0.371428571428571</v>
      </c>
      <c r="T58">
        <v>-1.0857142857142854</v>
      </c>
      <c r="U58">
        <v>-1.0857142857142854</v>
      </c>
      <c r="V58">
        <v>-1.0857142857142854</v>
      </c>
      <c r="W58">
        <v>-1.0857142857142854</v>
      </c>
      <c r="X58">
        <v>-1.0857142857142854</v>
      </c>
      <c r="Y58">
        <v>-1.0857142857142854</v>
      </c>
      <c r="Z58">
        <v>-1.0857142857142854</v>
      </c>
      <c r="AA58">
        <v>-1.0857142857142854</v>
      </c>
      <c r="AB58">
        <v>-1.0857142857142854</v>
      </c>
      <c r="AC58">
        <v>-1.1809523809523821</v>
      </c>
      <c r="AD58">
        <v>-0.94285714285714128</v>
      </c>
      <c r="AE58">
        <v>-1.038095238095238</v>
      </c>
      <c r="AF58">
        <v>-1.038095238095238</v>
      </c>
      <c r="AG58">
        <v>-1.038095238095238</v>
      </c>
      <c r="AH58">
        <v>-1.038095238095238</v>
      </c>
      <c r="AI58">
        <v>-1.038095238095238</v>
      </c>
      <c r="AJ58">
        <v>-1.038095238095238</v>
      </c>
      <c r="AK58">
        <v>-1.038095238095238</v>
      </c>
      <c r="AL58">
        <v>-1.038095238095238</v>
      </c>
      <c r="AM58">
        <v>-1.038095238095238</v>
      </c>
      <c r="AN58">
        <v>-1.038095238095238</v>
      </c>
      <c r="AO58">
        <v>-1.038095238095238</v>
      </c>
      <c r="AP58">
        <v>-0.99047619047619229</v>
      </c>
      <c r="AQ58">
        <v>-0.99047619047619229</v>
      </c>
      <c r="AR58">
        <v>-0.99047619047619229</v>
      </c>
      <c r="AS58">
        <v>-1.038095238095238</v>
      </c>
      <c r="AT58">
        <v>-1.038095238095238</v>
      </c>
    </row>
    <row r="59" spans="1:46" x14ac:dyDescent="0.25">
      <c r="A59" s="59" t="s">
        <v>17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0.4761904761904745</v>
      </c>
      <c r="AN59">
        <v>1.4285714285714277</v>
      </c>
      <c r="AO59">
        <v>1.4285714285714277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25">
      <c r="A60" s="59" t="s">
        <v>18</v>
      </c>
      <c r="D60">
        <v>10.256410256410252</v>
      </c>
      <c r="E60">
        <v>10.256410256410252</v>
      </c>
      <c r="F60">
        <v>10.256410256410252</v>
      </c>
      <c r="G60">
        <v>10.256410256410252</v>
      </c>
      <c r="H60">
        <v>10.256410256410252</v>
      </c>
      <c r="I60">
        <v>10.256410256410252</v>
      </c>
      <c r="J60">
        <v>10.256410256410252</v>
      </c>
      <c r="K60">
        <v>10.256410256410252</v>
      </c>
      <c r="L60">
        <v>10.256410256410252</v>
      </c>
      <c r="M60">
        <v>10.256410256410252</v>
      </c>
      <c r="N60">
        <v>10.256410256410252</v>
      </c>
      <c r="O60">
        <v>10.256410256410252</v>
      </c>
      <c r="P60">
        <v>10.256410256410252</v>
      </c>
      <c r="Q60">
        <v>10.256410256410252</v>
      </c>
      <c r="R60">
        <v>10.256410256410252</v>
      </c>
      <c r="S60">
        <v>8.3333333333333321</v>
      </c>
      <c r="T60">
        <v>10.256410256410252</v>
      </c>
      <c r="U60">
        <v>10.256410256410252</v>
      </c>
      <c r="V60">
        <v>10.256410256410252</v>
      </c>
      <c r="W60">
        <v>10.256410256410252</v>
      </c>
      <c r="X60">
        <v>10.256410256410252</v>
      </c>
      <c r="Y60">
        <v>10.256410256410252</v>
      </c>
      <c r="Z60">
        <v>10.256410256410252</v>
      </c>
      <c r="AA60">
        <v>10.256410256410252</v>
      </c>
      <c r="AB60">
        <v>10.256410256410252</v>
      </c>
      <c r="AC60">
        <v>10.256410256410252</v>
      </c>
      <c r="AD60">
        <v>10.256410256410252</v>
      </c>
      <c r="AE60">
        <v>10.256410256410252</v>
      </c>
      <c r="AF60">
        <v>10.256410256410252</v>
      </c>
      <c r="AG60">
        <v>16.666666666666664</v>
      </c>
      <c r="AH60">
        <v>13.46153846153846</v>
      </c>
      <c r="AI60">
        <v>13.46153846153846</v>
      </c>
      <c r="AJ60">
        <v>10.256410256410252</v>
      </c>
      <c r="AK60">
        <v>10.256410256410252</v>
      </c>
      <c r="AL60">
        <v>10.256410256410252</v>
      </c>
      <c r="AM60">
        <v>10.256410256410252</v>
      </c>
      <c r="AN60">
        <v>10.256410256410252</v>
      </c>
      <c r="AO60">
        <v>10.256410256410252</v>
      </c>
      <c r="AP60">
        <v>13.46153846153846</v>
      </c>
      <c r="AQ60">
        <v>13.46153846153846</v>
      </c>
      <c r="AR60">
        <v>7.0512820512820475</v>
      </c>
      <c r="AS60">
        <v>10.256410256410252</v>
      </c>
      <c r="AT60">
        <v>10.256410256410252</v>
      </c>
    </row>
    <row r="62" spans="1:46" x14ac:dyDescent="0.25">
      <c r="A62" s="1" t="s">
        <v>226</v>
      </c>
    </row>
    <row r="63" spans="1:46" x14ac:dyDescent="0.25">
      <c r="A63" s="13" t="s">
        <v>13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46" x14ac:dyDescent="0.25">
      <c r="A64" s="13" t="s">
        <v>14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25">
      <c r="A65" s="13" t="s">
        <v>15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x14ac:dyDescent="0.25">
      <c r="A66" s="13" t="s">
        <v>16</v>
      </c>
      <c r="D66">
        <v>0.16666666666666735</v>
      </c>
      <c r="E66">
        <v>0.16666666666666735</v>
      </c>
      <c r="F66">
        <v>0.16666666666666735</v>
      </c>
      <c r="G66">
        <v>0.16666666666666735</v>
      </c>
      <c r="H66">
        <v>0.16666666666666735</v>
      </c>
      <c r="I66">
        <v>0.16666666666666735</v>
      </c>
      <c r="J66">
        <v>0.16666666666666735</v>
      </c>
      <c r="K66">
        <v>0.16666666666666735</v>
      </c>
      <c r="L66">
        <v>0.16666666666666735</v>
      </c>
      <c r="M66">
        <v>0.16666666666666735</v>
      </c>
      <c r="N66">
        <v>7.1428571428569912E-2</v>
      </c>
      <c r="O66">
        <v>7.1428571428569912E-2</v>
      </c>
      <c r="P66">
        <v>0.21428571428571394</v>
      </c>
      <c r="Q66">
        <v>0.21428571428571394</v>
      </c>
      <c r="R66">
        <v>0.21428571428571394</v>
      </c>
      <c r="S66">
        <v>0.21428571428571394</v>
      </c>
      <c r="T66">
        <v>0.21428571428571394</v>
      </c>
      <c r="U66">
        <v>0.21428571428571394</v>
      </c>
      <c r="V66">
        <v>0.21428571428571394</v>
      </c>
      <c r="W66">
        <v>0.21428571428571394</v>
      </c>
      <c r="X66">
        <v>0.21428571428571394</v>
      </c>
      <c r="Y66">
        <v>0.21428571428571394</v>
      </c>
      <c r="Z66">
        <v>0.21428571428571394</v>
      </c>
      <c r="AA66">
        <v>0.21428571428571394</v>
      </c>
      <c r="AB66">
        <v>0.21428571428571394</v>
      </c>
      <c r="AC66">
        <v>0.21428571428571394</v>
      </c>
      <c r="AD66">
        <v>0.21428571428571394</v>
      </c>
      <c r="AE66">
        <v>0.17619047619047581</v>
      </c>
      <c r="AF66">
        <v>0.27142857142856902</v>
      </c>
      <c r="AG66">
        <v>0.27142857142856902</v>
      </c>
      <c r="AH66">
        <v>0.27142857142856902</v>
      </c>
      <c r="AI66">
        <v>0.21428571428571394</v>
      </c>
      <c r="AJ66">
        <v>0.23333333333333089</v>
      </c>
      <c r="AK66">
        <v>0.23333333333333089</v>
      </c>
      <c r="AL66">
        <v>0.23333333333333089</v>
      </c>
      <c r="AM66">
        <v>0.23333333333333089</v>
      </c>
      <c r="AN66">
        <v>0.23333333333333089</v>
      </c>
      <c r="AO66">
        <v>0.23333333333333089</v>
      </c>
      <c r="AP66">
        <v>0.29999999999999866</v>
      </c>
      <c r="AQ66">
        <v>0.44285714285714273</v>
      </c>
      <c r="AR66">
        <v>0.20476190476190548</v>
      </c>
      <c r="AS66">
        <v>0.23333333333333089</v>
      </c>
      <c r="AT66">
        <v>0.23333333333333089</v>
      </c>
    </row>
    <row r="67" spans="1:46" x14ac:dyDescent="0.25">
      <c r="A67" s="13" t="s">
        <v>17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1.4285714285714277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 x14ac:dyDescent="0.25">
      <c r="A68" s="13" t="s">
        <v>18</v>
      </c>
      <c r="D68">
        <v>25.512820512820518</v>
      </c>
      <c r="E68">
        <v>25.512820512820518</v>
      </c>
      <c r="F68">
        <v>25.512820512820518</v>
      </c>
      <c r="G68">
        <v>25.512820512820518</v>
      </c>
      <c r="H68">
        <v>25.512820512820518</v>
      </c>
      <c r="I68">
        <v>25.512820512820518</v>
      </c>
      <c r="J68">
        <v>25.512820512820518</v>
      </c>
      <c r="K68">
        <v>25.512820512820518</v>
      </c>
      <c r="L68">
        <v>25.512820512820518</v>
      </c>
      <c r="M68">
        <v>25.512820512820518</v>
      </c>
      <c r="N68">
        <v>25.512820512820518</v>
      </c>
      <c r="O68">
        <v>25.512820512820518</v>
      </c>
      <c r="P68">
        <v>25.512820512820518</v>
      </c>
      <c r="Q68">
        <v>25.512820512820518</v>
      </c>
      <c r="R68">
        <v>23.397435897435901</v>
      </c>
      <c r="S68">
        <v>25.256410256410259</v>
      </c>
      <c r="T68">
        <v>25.256410256410259</v>
      </c>
      <c r="U68">
        <v>25.256410256410259</v>
      </c>
      <c r="V68">
        <v>25.256410256410259</v>
      </c>
      <c r="W68">
        <v>25.256410256410259</v>
      </c>
      <c r="X68">
        <v>25.256410256410259</v>
      </c>
      <c r="Y68">
        <v>25.256410256410259</v>
      </c>
      <c r="Z68">
        <v>25.256410256410259</v>
      </c>
      <c r="AA68">
        <v>25.256410256410259</v>
      </c>
      <c r="AB68">
        <v>25.256410256410259</v>
      </c>
      <c r="AC68">
        <v>25.256410256410259</v>
      </c>
      <c r="AD68">
        <v>25.256410256410259</v>
      </c>
      <c r="AE68">
        <v>25.256410256410259</v>
      </c>
      <c r="AF68">
        <v>25.256410256410259</v>
      </c>
      <c r="AG68">
        <v>25.256410256410259</v>
      </c>
      <c r="AH68">
        <v>25.256410256410259</v>
      </c>
      <c r="AI68">
        <v>25.256410256410259</v>
      </c>
      <c r="AJ68">
        <v>28.461538461538467</v>
      </c>
      <c r="AK68">
        <v>31.666666666666671</v>
      </c>
      <c r="AL68">
        <v>22.051282051282055</v>
      </c>
      <c r="AM68">
        <v>25.256410256410259</v>
      </c>
      <c r="AN68">
        <v>25.256410256410259</v>
      </c>
      <c r="AO68">
        <v>25.256410256410259</v>
      </c>
      <c r="AP68">
        <v>22.051282051282055</v>
      </c>
      <c r="AQ68">
        <v>28.461538461538467</v>
      </c>
      <c r="AR68">
        <v>25.256410256410259</v>
      </c>
      <c r="AS68">
        <v>25.256410256410259</v>
      </c>
      <c r="AT68">
        <v>25.256410256410259</v>
      </c>
    </row>
    <row r="70" spans="1:46" x14ac:dyDescent="0.25">
      <c r="A70" s="16" t="s">
        <v>225</v>
      </c>
    </row>
    <row r="71" spans="1:46" x14ac:dyDescent="0.25">
      <c r="A71" s="13" t="s">
        <v>228</v>
      </c>
      <c r="D71">
        <f>(D14-$D$14)*570/550000*4.85/1000</f>
        <v>0</v>
      </c>
      <c r="E71">
        <f t="shared" ref="E71:AB71" si="13">(E14-$D$14)*570/550000*4.85/1000</f>
        <v>0</v>
      </c>
      <c r="F71">
        <f t="shared" si="13"/>
        <v>0</v>
      </c>
      <c r="G71">
        <f t="shared" si="13"/>
        <v>0</v>
      </c>
      <c r="H71">
        <f t="shared" si="13"/>
        <v>0</v>
      </c>
      <c r="I71">
        <f t="shared" si="13"/>
        <v>0</v>
      </c>
      <c r="J71">
        <f t="shared" si="13"/>
        <v>0</v>
      </c>
      <c r="K71">
        <f t="shared" si="13"/>
        <v>0</v>
      </c>
      <c r="L71">
        <f t="shared" si="13"/>
        <v>0</v>
      </c>
      <c r="M71">
        <f t="shared" si="13"/>
        <v>0</v>
      </c>
      <c r="N71">
        <f t="shared" si="13"/>
        <v>0</v>
      </c>
      <c r="O71">
        <f t="shared" si="13"/>
        <v>0</v>
      </c>
      <c r="P71">
        <f t="shared" si="13"/>
        <v>0</v>
      </c>
      <c r="Q71">
        <f t="shared" si="13"/>
        <v>0</v>
      </c>
      <c r="R71">
        <f t="shared" si="13"/>
        <v>0</v>
      </c>
      <c r="S71">
        <f t="shared" si="13"/>
        <v>0</v>
      </c>
      <c r="T71">
        <f t="shared" si="13"/>
        <v>8.0421818181818178E-2</v>
      </c>
      <c r="U71">
        <f t="shared" si="13"/>
        <v>8.0421818181818178E-2</v>
      </c>
      <c r="V71">
        <f t="shared" si="13"/>
        <v>8.0421818181818178E-2</v>
      </c>
      <c r="W71">
        <f t="shared" si="13"/>
        <v>8.0421818181818178E-2</v>
      </c>
      <c r="X71">
        <f t="shared" si="13"/>
        <v>0.18094909090909089</v>
      </c>
      <c r="Y71">
        <f t="shared" si="13"/>
        <v>0.23121272727272724</v>
      </c>
      <c r="Z71">
        <f t="shared" si="13"/>
        <v>3.0158181818181813E-2</v>
      </c>
      <c r="AA71">
        <f t="shared" si="13"/>
        <v>0.13068545454545455</v>
      </c>
      <c r="AB71">
        <f t="shared" si="13"/>
        <v>0.18094909090909089</v>
      </c>
      <c r="AC71">
        <f t="shared" ref="AC71:AT71" si="14">(AC14-$D$14)*570/550000*4.85/1000</f>
        <v>0.18094909090909089</v>
      </c>
      <c r="AD71">
        <f t="shared" si="14"/>
        <v>0.18094909090909089</v>
      </c>
      <c r="AE71">
        <f t="shared" si="14"/>
        <v>0.18094909090909089</v>
      </c>
      <c r="AF71">
        <f t="shared" si="14"/>
        <v>0.18094909090909089</v>
      </c>
      <c r="AG71">
        <f t="shared" si="14"/>
        <v>0.18094909090909089</v>
      </c>
      <c r="AH71">
        <f t="shared" si="14"/>
        <v>0.18094909090909089</v>
      </c>
      <c r="AI71">
        <f t="shared" si="14"/>
        <v>0.18094909090909089</v>
      </c>
      <c r="AJ71">
        <f t="shared" si="14"/>
        <v>0.18094909090909089</v>
      </c>
      <c r="AK71">
        <f t="shared" si="14"/>
        <v>0.18094909090909089</v>
      </c>
      <c r="AL71">
        <f t="shared" si="14"/>
        <v>0.18094909090909089</v>
      </c>
      <c r="AM71">
        <f t="shared" si="14"/>
        <v>0.18094909090909089</v>
      </c>
      <c r="AN71">
        <f t="shared" si="14"/>
        <v>0.18094909090909089</v>
      </c>
      <c r="AO71">
        <f t="shared" si="14"/>
        <v>0.18094909090909089</v>
      </c>
      <c r="AP71">
        <f t="shared" si="14"/>
        <v>0.18094909090909089</v>
      </c>
      <c r="AQ71">
        <f t="shared" si="14"/>
        <v>0.18094909090909089</v>
      </c>
      <c r="AR71">
        <f t="shared" si="14"/>
        <v>0.18094909090909089</v>
      </c>
      <c r="AS71">
        <f t="shared" si="14"/>
        <v>0.18094909090909089</v>
      </c>
      <c r="AT71">
        <f t="shared" si="14"/>
        <v>8.0421818181818178E-2</v>
      </c>
    </row>
    <row r="72" spans="1:46" x14ac:dyDescent="0.25">
      <c r="A72" s="13" t="s">
        <v>229</v>
      </c>
      <c r="D72">
        <f>($D$15-D15)*2066/550000*4.85/1000</f>
        <v>0</v>
      </c>
      <c r="E72">
        <f t="shared" ref="E72:AB72" si="15">($D$15-E15)*2066/550000*4.85/1000</f>
        <v>0</v>
      </c>
      <c r="F72">
        <f t="shared" si="15"/>
        <v>0</v>
      </c>
      <c r="G72">
        <f t="shared" si="15"/>
        <v>0</v>
      </c>
      <c r="H72">
        <f t="shared" si="15"/>
        <v>0</v>
      </c>
      <c r="I72">
        <f t="shared" si="15"/>
        <v>0.91091818181818174</v>
      </c>
      <c r="J72">
        <f t="shared" si="15"/>
        <v>2.0040199999999997</v>
      </c>
      <c r="K72">
        <f t="shared" si="15"/>
        <v>2.0040199999999997</v>
      </c>
      <c r="L72">
        <f t="shared" si="15"/>
        <v>0</v>
      </c>
      <c r="M72">
        <f t="shared" si="15"/>
        <v>0</v>
      </c>
      <c r="N72">
        <f t="shared" si="15"/>
        <v>0</v>
      </c>
      <c r="O72">
        <f t="shared" si="15"/>
        <v>0</v>
      </c>
      <c r="P72">
        <f t="shared" si="15"/>
        <v>0</v>
      </c>
      <c r="Q72">
        <f t="shared" si="15"/>
        <v>0</v>
      </c>
      <c r="R72">
        <f t="shared" si="15"/>
        <v>0</v>
      </c>
      <c r="S72">
        <f t="shared" si="15"/>
        <v>0</v>
      </c>
      <c r="T72">
        <f t="shared" si="15"/>
        <v>0.7287345454545453</v>
      </c>
      <c r="U72">
        <f t="shared" si="15"/>
        <v>0.7287345454545453</v>
      </c>
      <c r="V72">
        <f t="shared" si="15"/>
        <v>0.7287345454545453</v>
      </c>
      <c r="W72">
        <f t="shared" si="15"/>
        <v>0.7287345454545453</v>
      </c>
      <c r="X72">
        <f t="shared" si="15"/>
        <v>0.7287345454545453</v>
      </c>
      <c r="Y72">
        <f t="shared" si="15"/>
        <v>0.7287345454545453</v>
      </c>
      <c r="Z72">
        <f t="shared" si="15"/>
        <v>0.7287345454545453</v>
      </c>
      <c r="AA72">
        <f t="shared" si="15"/>
        <v>0.7287345454545453</v>
      </c>
      <c r="AB72">
        <f t="shared" si="15"/>
        <v>0.7287345454545453</v>
      </c>
      <c r="AC72">
        <f t="shared" ref="AC72:AT72" si="16">($D$15-AC15)*2066/550000*4.85/1000</f>
        <v>0.7287345454545453</v>
      </c>
      <c r="AD72">
        <f t="shared" si="16"/>
        <v>0.7287345454545453</v>
      </c>
      <c r="AE72">
        <f t="shared" si="16"/>
        <v>0.7287345454545453</v>
      </c>
      <c r="AF72">
        <f t="shared" si="16"/>
        <v>0.7287345454545453</v>
      </c>
      <c r="AG72">
        <f t="shared" si="16"/>
        <v>0.7287345454545453</v>
      </c>
      <c r="AH72">
        <f t="shared" si="16"/>
        <v>0.7287345454545453</v>
      </c>
      <c r="AI72">
        <f t="shared" si="16"/>
        <v>0.7287345454545453</v>
      </c>
      <c r="AJ72">
        <f t="shared" si="16"/>
        <v>0.7287345454545453</v>
      </c>
      <c r="AK72">
        <f t="shared" si="16"/>
        <v>0.7287345454545453</v>
      </c>
      <c r="AL72">
        <f t="shared" si="16"/>
        <v>0.7287345454545453</v>
      </c>
      <c r="AM72">
        <f t="shared" si="16"/>
        <v>0.7287345454545453</v>
      </c>
      <c r="AN72">
        <f t="shared" si="16"/>
        <v>0.7287345454545453</v>
      </c>
      <c r="AO72">
        <f t="shared" si="16"/>
        <v>0.7287345454545453</v>
      </c>
      <c r="AP72">
        <f t="shared" si="16"/>
        <v>0.7287345454545453</v>
      </c>
      <c r="AQ72">
        <f t="shared" si="16"/>
        <v>0.7287345454545453</v>
      </c>
      <c r="AR72">
        <f t="shared" si="16"/>
        <v>0.7287345454545453</v>
      </c>
      <c r="AS72">
        <f t="shared" si="16"/>
        <v>0.7287345454545453</v>
      </c>
      <c r="AT72">
        <f t="shared" si="16"/>
        <v>0.7287345454545453</v>
      </c>
    </row>
    <row r="86" spans="1:1" x14ac:dyDescent="0.25">
      <c r="A86" s="6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Spiegel M3</vt:lpstr>
      <vt:lpstr>Spiegel M4</vt:lpstr>
      <vt:lpstr>Tabelle2</vt:lpstr>
      <vt:lpstr>Tabelle3</vt:lpstr>
      <vt:lpstr>Messungen_original</vt:lpstr>
      <vt:lpstr>KI</vt:lpstr>
      <vt:lpstr>Messungen_filled</vt:lpstr>
    </vt:vector>
  </TitlesOfParts>
  <Company>HZB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Zeschke, Thomas</dc:creator>
  <cp:lastModifiedBy>Zeschke, Thomas</cp:lastModifiedBy>
  <dcterms:created xsi:type="dcterms:W3CDTF">2021-01-27T12:54:40Z</dcterms:created>
  <dcterms:modified xsi:type="dcterms:W3CDTF">2021-03-13T11:48:35Z</dcterms:modified>
</cp:coreProperties>
</file>